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8e67ff313bed02/Westmead/New Desktop/"/>
    </mc:Choice>
  </mc:AlternateContent>
  <xr:revisionPtr revIDLastSave="830" documentId="8_{05E790B6-BADB-4F71-AB87-15958358D8AB}" xr6:coauthVersionLast="47" xr6:coauthVersionMax="47" xr10:uidLastSave="{2DBA223F-9433-4C64-9318-CB86D18D3E49}"/>
  <bookViews>
    <workbookView xWindow="-120" yWindow="-120" windowWidth="29040" windowHeight="15720" tabRatio="951" activeTab="13" xr2:uid="{00000000-000D-0000-FFFF-FFFF00000000}"/>
  </bookViews>
  <sheets>
    <sheet name="1st" sheetId="1" r:id="rId1"/>
    <sheet name="2nd" sheetId="2" r:id="rId2"/>
    <sheet name="3rd" sheetId="4" r:id="rId3"/>
    <sheet name="4th" sheetId="5" r:id="rId4"/>
    <sheet name="5th" sheetId="8" r:id="rId5"/>
    <sheet name="6th" sheetId="9" r:id="rId6"/>
    <sheet name="7th" sheetId="6" r:id="rId7"/>
    <sheet name="8th" sheetId="16" r:id="rId8"/>
    <sheet name="9th" sheetId="31" r:id="rId9"/>
    <sheet name="10th" sheetId="30" r:id="rId10"/>
    <sheet name="11th" sheetId="29" r:id="rId11"/>
    <sheet name="12th" sheetId="28" r:id="rId12"/>
    <sheet name="13th" sheetId="27" r:id="rId13"/>
    <sheet name="14th" sheetId="26" r:id="rId14"/>
    <sheet name="15th" sheetId="25" r:id="rId15"/>
    <sheet name="16th" sheetId="24" r:id="rId16"/>
    <sheet name="17th" sheetId="23" r:id="rId17"/>
    <sheet name="18th" sheetId="22" r:id="rId18"/>
    <sheet name="19th" sheetId="21" r:id="rId19"/>
    <sheet name="20th" sheetId="20" r:id="rId20"/>
    <sheet name="21st" sheetId="19" r:id="rId21"/>
    <sheet name="22nd" sheetId="18" r:id="rId22"/>
    <sheet name="23rd" sheetId="32" r:id="rId23"/>
    <sheet name="24th" sheetId="17" r:id="rId24"/>
    <sheet name="25th" sheetId="15" r:id="rId25"/>
    <sheet name="26th" sheetId="14" r:id="rId26"/>
    <sheet name="27th" sheetId="13" r:id="rId27"/>
    <sheet name="28th" sheetId="12" r:id="rId28"/>
    <sheet name="29th" sheetId="11" r:id="rId29"/>
    <sheet name="30th" sheetId="10" r:id="rId30"/>
    <sheet name="31st" sheetId="7" r:id="rId31"/>
    <sheet name="monthtodate glance" sheetId="3" r:id="rId32"/>
    <sheet name="pl budget vs actual" sheetId="34" r:id="rId33"/>
    <sheet name="Tills in a glance" sheetId="37" r:id="rId34"/>
    <sheet name="expenses budget" sheetId="33" r:id="rId35"/>
    <sheet name="wages" sheetId="38" r:id="rId36"/>
    <sheet name="Sheet2" sheetId="39" r:id="rId37"/>
  </sheets>
  <definedNames>
    <definedName name="_xlnm.Print_Area" localSheetId="0">'1st'!$A$1:$F$51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3" i="26" l="1"/>
  <c r="D16" i="26"/>
  <c r="D23" i="27"/>
  <c r="C18" i="27" l="1"/>
  <c r="D16" i="27"/>
  <c r="D9" i="27"/>
  <c r="D23" i="28"/>
  <c r="D8" i="28"/>
  <c r="D9" i="28"/>
  <c r="D23" i="29"/>
  <c r="D16" i="29"/>
  <c r="D6" i="29"/>
  <c r="D8" i="29"/>
  <c r="D14" i="29"/>
  <c r="D23" i="31"/>
  <c r="D8" i="31"/>
  <c r="D23" i="16"/>
  <c r="D9" i="16"/>
  <c r="D23" i="6"/>
  <c r="D16" i="6"/>
  <c r="D23" i="9"/>
  <c r="D6" i="9"/>
  <c r="D8" i="9"/>
  <c r="D16" i="9"/>
  <c r="D23" i="4" l="1"/>
  <c r="D23" i="8" l="1"/>
  <c r="D8" i="8"/>
  <c r="D16" i="8"/>
  <c r="D23" i="5"/>
  <c r="D9" i="5"/>
  <c r="C28" i="1"/>
  <c r="D9" i="1"/>
  <c r="C40" i="2"/>
  <c r="B40" i="2"/>
  <c r="E3" i="2"/>
  <c r="G3" i="2" s="1"/>
  <c r="E5" i="2"/>
  <c r="E6" i="2"/>
  <c r="E7" i="2"/>
  <c r="G7" i="2" s="1"/>
  <c r="E9" i="2"/>
  <c r="E10" i="2"/>
  <c r="E11" i="2"/>
  <c r="G11" i="2" s="1"/>
  <c r="E12" i="2"/>
  <c r="E13" i="2"/>
  <c r="E15" i="2"/>
  <c r="G15" i="2" s="1"/>
  <c r="G16" i="2"/>
  <c r="E17" i="2"/>
  <c r="C40" i="1"/>
  <c r="E4" i="1"/>
  <c r="E10" i="1"/>
  <c r="E12" i="1"/>
  <c r="F16" i="2"/>
  <c r="D18" i="2"/>
  <c r="D23" i="2" s="1"/>
  <c r="F37" i="2"/>
  <c r="F40" i="2"/>
  <c r="F11" i="2"/>
  <c r="F43" i="2"/>
  <c r="F38" i="2"/>
  <c r="G10" i="2" s="1"/>
  <c r="G9" i="2"/>
  <c r="F32" i="2"/>
  <c r="F8" i="2"/>
  <c r="F14" i="2"/>
  <c r="F7" i="2"/>
  <c r="F3" i="2"/>
  <c r="H19" i="2"/>
  <c r="E19" i="2"/>
  <c r="I19" i="2" s="1"/>
  <c r="C19" i="2"/>
  <c r="B19" i="2"/>
  <c r="F19" i="2" s="1"/>
  <c r="I18" i="2"/>
  <c r="I23" i="2" s="1"/>
  <c r="H18" i="2"/>
  <c r="H23" i="2" s="1"/>
  <c r="C18" i="2"/>
  <c r="C23" i="2" s="1"/>
  <c r="B18" i="2"/>
  <c r="B23" i="2" s="1"/>
  <c r="G17" i="2"/>
  <c r="F17" i="2"/>
  <c r="F15" i="2"/>
  <c r="G14" i="2"/>
  <c r="F13" i="2"/>
  <c r="G13" i="2"/>
  <c r="F12" i="2"/>
  <c r="F10" i="2"/>
  <c r="G8" i="2"/>
  <c r="F6" i="2"/>
  <c r="G6" i="2"/>
  <c r="F5" i="2"/>
  <c r="F4" i="2"/>
  <c r="E4" i="2"/>
  <c r="G4" i="2" s="1"/>
  <c r="G12" i="2" l="1"/>
  <c r="G18" i="2" s="1"/>
  <c r="E18" i="2"/>
  <c r="G19" i="2"/>
  <c r="D19" i="3"/>
  <c r="C20" i="3"/>
  <c r="D20" i="3"/>
  <c r="E20" i="3"/>
  <c r="F20" i="3"/>
  <c r="G20" i="3"/>
  <c r="H20" i="3"/>
  <c r="I20" i="3"/>
  <c r="C21" i="3"/>
  <c r="D21" i="3"/>
  <c r="E21" i="3"/>
  <c r="F21" i="3"/>
  <c r="G21" i="3"/>
  <c r="H21" i="3"/>
  <c r="I21" i="3"/>
  <c r="C22" i="3"/>
  <c r="D22" i="3"/>
  <c r="E22" i="3"/>
  <c r="F22" i="3"/>
  <c r="G22" i="3"/>
  <c r="H22" i="3"/>
  <c r="I22" i="3"/>
  <c r="B20" i="3"/>
  <c r="B21" i="3"/>
  <c r="B22" i="3"/>
  <c r="F20" i="34" l="1"/>
  <c r="F21" i="34"/>
  <c r="F22" i="34"/>
  <c r="I18" i="4"/>
  <c r="I18" i="5"/>
  <c r="I18" i="8"/>
  <c r="I18" i="9"/>
  <c r="I18" i="6"/>
  <c r="I18" i="16"/>
  <c r="I18" i="31"/>
  <c r="I18" i="30"/>
  <c r="I18" i="29"/>
  <c r="I18" i="28"/>
  <c r="I18" i="27"/>
  <c r="I18" i="26"/>
  <c r="I18" i="25"/>
  <c r="I18" i="24"/>
  <c r="I18" i="22"/>
  <c r="I18" i="21"/>
  <c r="I18" i="20"/>
  <c r="I18" i="19"/>
  <c r="I18" i="18"/>
  <c r="I18" i="32"/>
  <c r="I18" i="17"/>
  <c r="I18" i="15"/>
  <c r="I18" i="14"/>
  <c r="I18" i="13"/>
  <c r="I18" i="12"/>
  <c r="I18" i="11"/>
  <c r="I18" i="10"/>
  <c r="I18" i="7"/>
  <c r="I18" i="1"/>
  <c r="C118" i="2"/>
  <c r="C118" i="4"/>
  <c r="H19" i="4" s="1"/>
  <c r="C118" i="5"/>
  <c r="H19" i="5" s="1"/>
  <c r="C118" i="8"/>
  <c r="H19" i="8" s="1"/>
  <c r="C118" i="9"/>
  <c r="H19" i="9" s="1"/>
  <c r="C118" i="6"/>
  <c r="H19" i="6" s="1"/>
  <c r="C118" i="16"/>
  <c r="H19" i="16" s="1"/>
  <c r="C118" i="31"/>
  <c r="H19" i="31" s="1"/>
  <c r="C118" i="30"/>
  <c r="H19" i="30" s="1"/>
  <c r="C118" i="29"/>
  <c r="H19" i="29" s="1"/>
  <c r="C118" i="28"/>
  <c r="H19" i="28" s="1"/>
  <c r="C118" i="27"/>
  <c r="H19" i="27" s="1"/>
  <c r="C118" i="26"/>
  <c r="H19" i="26" s="1"/>
  <c r="C118" i="25"/>
  <c r="H19" i="25" s="1"/>
  <c r="C118" i="24"/>
  <c r="H19" i="24" s="1"/>
  <c r="C118" i="23"/>
  <c r="H19" i="23" s="1"/>
  <c r="C118" i="22"/>
  <c r="H19" i="22" s="1"/>
  <c r="C118" i="21"/>
  <c r="H19" i="21" s="1"/>
  <c r="C118" i="20"/>
  <c r="H19" i="20" s="1"/>
  <c r="C118" i="19"/>
  <c r="H19" i="19" s="1"/>
  <c r="C118" i="18"/>
  <c r="H19" i="18" s="1"/>
  <c r="C118" i="32"/>
  <c r="H19" i="32" s="1"/>
  <c r="C118" i="17"/>
  <c r="H19" i="17" s="1"/>
  <c r="C118" i="15"/>
  <c r="H19" i="15" s="1"/>
  <c r="C118" i="14"/>
  <c r="H19" i="14" s="1"/>
  <c r="C118" i="13"/>
  <c r="H19" i="13" s="1"/>
  <c r="C118" i="12"/>
  <c r="H19" i="12" s="1"/>
  <c r="C118" i="11"/>
  <c r="H19" i="11" s="1"/>
  <c r="C118" i="10"/>
  <c r="H19" i="10" s="1"/>
  <c r="C118" i="7"/>
  <c r="H19" i="7" s="1"/>
  <c r="C118" i="1"/>
  <c r="H19" i="1" s="1"/>
  <c r="F104" i="2"/>
  <c r="E104" i="2"/>
  <c r="D104" i="2"/>
  <c r="C104" i="2"/>
  <c r="F104" i="4"/>
  <c r="E104" i="4"/>
  <c r="D104" i="4"/>
  <c r="B19" i="4" s="1"/>
  <c r="C104" i="4"/>
  <c r="F104" i="5"/>
  <c r="E104" i="5"/>
  <c r="C19" i="5" s="1"/>
  <c r="D104" i="5"/>
  <c r="B19" i="5" s="1"/>
  <c r="C104" i="5"/>
  <c r="F104" i="8"/>
  <c r="E104" i="8"/>
  <c r="D104" i="8"/>
  <c r="B19" i="8" s="1"/>
  <c r="C104" i="8"/>
  <c r="F104" i="9"/>
  <c r="C19" i="9" s="1"/>
  <c r="E104" i="9"/>
  <c r="D104" i="9"/>
  <c r="B19" i="9" s="1"/>
  <c r="C104" i="9"/>
  <c r="F104" i="6"/>
  <c r="E104" i="6"/>
  <c r="D104" i="6"/>
  <c r="B19" i="6" s="1"/>
  <c r="C104" i="6"/>
  <c r="F104" i="16"/>
  <c r="E104" i="16"/>
  <c r="C19" i="16" s="1"/>
  <c r="D104" i="16"/>
  <c r="B19" i="16" s="1"/>
  <c r="C104" i="16"/>
  <c r="F104" i="31"/>
  <c r="E104" i="31"/>
  <c r="D104" i="31"/>
  <c r="B19" i="31" s="1"/>
  <c r="C104" i="31"/>
  <c r="F104" i="30"/>
  <c r="C19" i="30" s="1"/>
  <c r="E104" i="30"/>
  <c r="D104" i="30"/>
  <c r="B19" i="30" s="1"/>
  <c r="C104" i="30"/>
  <c r="F104" i="29"/>
  <c r="E104" i="29"/>
  <c r="D104" i="29"/>
  <c r="B19" i="29" s="1"/>
  <c r="C104" i="29"/>
  <c r="F104" i="28"/>
  <c r="E104" i="28"/>
  <c r="C19" i="28" s="1"/>
  <c r="D104" i="28"/>
  <c r="B19" i="28" s="1"/>
  <c r="C104" i="28"/>
  <c r="F104" i="27"/>
  <c r="E104" i="27"/>
  <c r="D104" i="27"/>
  <c r="B19" i="27" s="1"/>
  <c r="C104" i="27"/>
  <c r="F104" i="26"/>
  <c r="C19" i="26" s="1"/>
  <c r="E104" i="26"/>
  <c r="D104" i="26"/>
  <c r="B19" i="26" s="1"/>
  <c r="C104" i="26"/>
  <c r="F104" i="25"/>
  <c r="E104" i="25"/>
  <c r="D104" i="25"/>
  <c r="B19" i="25" s="1"/>
  <c r="C104" i="25"/>
  <c r="F104" i="24"/>
  <c r="E104" i="24"/>
  <c r="D104" i="24"/>
  <c r="B19" i="24" s="1"/>
  <c r="C104" i="24"/>
  <c r="F104" i="23"/>
  <c r="E104" i="23"/>
  <c r="D104" i="23"/>
  <c r="B19" i="23" s="1"/>
  <c r="C104" i="23"/>
  <c r="F104" i="22"/>
  <c r="C19" i="22" s="1"/>
  <c r="E104" i="22"/>
  <c r="D104" i="22"/>
  <c r="B19" i="22" s="1"/>
  <c r="C104" i="22"/>
  <c r="F104" i="21"/>
  <c r="C19" i="21" s="1"/>
  <c r="E104" i="21"/>
  <c r="D104" i="21"/>
  <c r="B19" i="21" s="1"/>
  <c r="C104" i="21"/>
  <c r="F104" i="20"/>
  <c r="C19" i="20" s="1"/>
  <c r="E104" i="20"/>
  <c r="D104" i="20"/>
  <c r="B19" i="20" s="1"/>
  <c r="C104" i="20"/>
  <c r="F104" i="19"/>
  <c r="E104" i="19"/>
  <c r="D104" i="19"/>
  <c r="B19" i="19" s="1"/>
  <c r="C104" i="19"/>
  <c r="F104" i="18"/>
  <c r="C19" i="18" s="1"/>
  <c r="E104" i="18"/>
  <c r="D104" i="18"/>
  <c r="B19" i="18" s="1"/>
  <c r="C104" i="18"/>
  <c r="F104" i="32"/>
  <c r="E104" i="32"/>
  <c r="D104" i="32"/>
  <c r="B19" i="32" s="1"/>
  <c r="C104" i="32"/>
  <c r="F104" i="17"/>
  <c r="C19" i="17" s="1"/>
  <c r="E104" i="17"/>
  <c r="D104" i="17"/>
  <c r="B19" i="17" s="1"/>
  <c r="C104" i="17"/>
  <c r="F104" i="15"/>
  <c r="C19" i="15" s="1"/>
  <c r="E104" i="15"/>
  <c r="D104" i="15"/>
  <c r="B19" i="15" s="1"/>
  <c r="C104" i="15"/>
  <c r="F104" i="14"/>
  <c r="C19" i="14" s="1"/>
  <c r="E104" i="14"/>
  <c r="D104" i="14"/>
  <c r="B19" i="14" s="1"/>
  <c r="C104" i="14"/>
  <c r="F104" i="13"/>
  <c r="C19" i="13" s="1"/>
  <c r="E104" i="13"/>
  <c r="D104" i="13"/>
  <c r="B19" i="13" s="1"/>
  <c r="C104" i="13"/>
  <c r="F104" i="12"/>
  <c r="C19" i="12" s="1"/>
  <c r="E104" i="12"/>
  <c r="D104" i="12"/>
  <c r="B19" i="12" s="1"/>
  <c r="C104" i="12"/>
  <c r="F104" i="11"/>
  <c r="C19" i="11" s="1"/>
  <c r="E104" i="11"/>
  <c r="D104" i="11"/>
  <c r="B19" i="11" s="1"/>
  <c r="C104" i="11"/>
  <c r="F104" i="10"/>
  <c r="C19" i="10" s="1"/>
  <c r="E104" i="10"/>
  <c r="D104" i="10"/>
  <c r="B19" i="10" s="1"/>
  <c r="C104" i="10"/>
  <c r="F104" i="7"/>
  <c r="C19" i="7" s="1"/>
  <c r="E104" i="7"/>
  <c r="D104" i="7"/>
  <c r="B19" i="7" s="1"/>
  <c r="C104" i="7"/>
  <c r="F104" i="1"/>
  <c r="C19" i="1" s="1"/>
  <c r="E104" i="1"/>
  <c r="D104" i="1"/>
  <c r="B19" i="1" s="1"/>
  <c r="C104" i="1"/>
  <c r="D90" i="2"/>
  <c r="E90" i="2"/>
  <c r="E47" i="2" s="1"/>
  <c r="F90" i="2"/>
  <c r="F47" i="2" s="1"/>
  <c r="D90" i="4"/>
  <c r="E90" i="4"/>
  <c r="E47" i="4" s="1"/>
  <c r="E19" i="4" s="1"/>
  <c r="F90" i="4"/>
  <c r="F47" i="4" s="1"/>
  <c r="D90" i="5"/>
  <c r="E90" i="5"/>
  <c r="E47" i="5" s="1"/>
  <c r="E19" i="5" s="1"/>
  <c r="I19" i="5" s="1"/>
  <c r="F90" i="5"/>
  <c r="F47" i="5" s="1"/>
  <c r="D90" i="8"/>
  <c r="E90" i="8"/>
  <c r="E47" i="8" s="1"/>
  <c r="F90" i="8"/>
  <c r="F47" i="8" s="1"/>
  <c r="D90" i="9"/>
  <c r="E90" i="9"/>
  <c r="E47" i="9" s="1"/>
  <c r="F90" i="9"/>
  <c r="F47" i="9" s="1"/>
  <c r="D90" i="6"/>
  <c r="E90" i="6"/>
  <c r="E47" i="6" s="1"/>
  <c r="F90" i="6"/>
  <c r="F47" i="6" s="1"/>
  <c r="D90" i="16"/>
  <c r="E90" i="16"/>
  <c r="E47" i="16" s="1"/>
  <c r="F90" i="16"/>
  <c r="F47" i="16" s="1"/>
  <c r="D90" i="31"/>
  <c r="E90" i="31"/>
  <c r="E47" i="31" s="1"/>
  <c r="F90" i="31"/>
  <c r="F47" i="31" s="1"/>
  <c r="D90" i="30"/>
  <c r="E90" i="30"/>
  <c r="E47" i="30" s="1"/>
  <c r="F90" i="30"/>
  <c r="F47" i="30" s="1"/>
  <c r="D90" i="29"/>
  <c r="E90" i="29"/>
  <c r="E47" i="29" s="1"/>
  <c r="E19" i="29" s="1"/>
  <c r="F90" i="29"/>
  <c r="F47" i="29" s="1"/>
  <c r="D90" i="28"/>
  <c r="E90" i="28"/>
  <c r="E47" i="28" s="1"/>
  <c r="E19" i="28" s="1"/>
  <c r="I19" i="28" s="1"/>
  <c r="F90" i="28"/>
  <c r="F47" i="28" s="1"/>
  <c r="D90" i="27"/>
  <c r="E90" i="27"/>
  <c r="E47" i="27" s="1"/>
  <c r="F90" i="27"/>
  <c r="F47" i="27" s="1"/>
  <c r="D90" i="26"/>
  <c r="E90" i="26"/>
  <c r="E47" i="26" s="1"/>
  <c r="F90" i="26"/>
  <c r="F47" i="26" s="1"/>
  <c r="D90" i="25"/>
  <c r="E90" i="25"/>
  <c r="E47" i="25" s="1"/>
  <c r="F90" i="25"/>
  <c r="F47" i="25" s="1"/>
  <c r="D90" i="24"/>
  <c r="E90" i="24"/>
  <c r="E47" i="24" s="1"/>
  <c r="E19" i="24" s="1"/>
  <c r="I19" i="24" s="1"/>
  <c r="F90" i="24"/>
  <c r="F47" i="24" s="1"/>
  <c r="D90" i="23"/>
  <c r="E90" i="23"/>
  <c r="E47" i="23" s="1"/>
  <c r="F90" i="23"/>
  <c r="F47" i="23" s="1"/>
  <c r="D90" i="22"/>
  <c r="E90" i="22"/>
  <c r="E47" i="22" s="1"/>
  <c r="F90" i="22"/>
  <c r="F47" i="22" s="1"/>
  <c r="D90" i="21"/>
  <c r="E90" i="21"/>
  <c r="E47" i="21" s="1"/>
  <c r="E19" i="21" s="1"/>
  <c r="F90" i="21"/>
  <c r="F47" i="21" s="1"/>
  <c r="D90" i="20"/>
  <c r="E90" i="20"/>
  <c r="E47" i="20" s="1"/>
  <c r="E19" i="20" s="1"/>
  <c r="I19" i="20" s="1"/>
  <c r="F90" i="20"/>
  <c r="F47" i="20" s="1"/>
  <c r="D90" i="19"/>
  <c r="E90" i="19"/>
  <c r="E47" i="19" s="1"/>
  <c r="F90" i="19"/>
  <c r="F47" i="19" s="1"/>
  <c r="D90" i="18"/>
  <c r="E90" i="18"/>
  <c r="E47" i="18" s="1"/>
  <c r="F90" i="18"/>
  <c r="F47" i="18" s="1"/>
  <c r="D90" i="32"/>
  <c r="E90" i="32"/>
  <c r="E47" i="32" s="1"/>
  <c r="F90" i="32"/>
  <c r="F47" i="32" s="1"/>
  <c r="D90" i="17"/>
  <c r="E90" i="17"/>
  <c r="E47" i="17" s="1"/>
  <c r="E19" i="17" s="1"/>
  <c r="I19" i="17" s="1"/>
  <c r="F90" i="17"/>
  <c r="F47" i="17" s="1"/>
  <c r="D90" i="15"/>
  <c r="E90" i="15"/>
  <c r="E47" i="15" s="1"/>
  <c r="F90" i="15"/>
  <c r="F47" i="15" s="1"/>
  <c r="D90" i="14"/>
  <c r="E90" i="14"/>
  <c r="E47" i="14" s="1"/>
  <c r="F90" i="14"/>
  <c r="F47" i="14" s="1"/>
  <c r="D90" i="13"/>
  <c r="E90" i="13"/>
  <c r="E47" i="13" s="1"/>
  <c r="E19" i="13" s="1"/>
  <c r="F90" i="13"/>
  <c r="F47" i="13" s="1"/>
  <c r="D90" i="12"/>
  <c r="E90" i="12"/>
  <c r="E47" i="12" s="1"/>
  <c r="E19" i="12" s="1"/>
  <c r="I19" i="12" s="1"/>
  <c r="F90" i="12"/>
  <c r="F47" i="12" s="1"/>
  <c r="D90" i="11"/>
  <c r="E90" i="11"/>
  <c r="E47" i="11" s="1"/>
  <c r="F90" i="11"/>
  <c r="F47" i="11" s="1"/>
  <c r="D90" i="10"/>
  <c r="E90" i="10"/>
  <c r="E47" i="10" s="1"/>
  <c r="F90" i="10"/>
  <c r="F47" i="10" s="1"/>
  <c r="D90" i="7"/>
  <c r="E90" i="7"/>
  <c r="E47" i="7" s="1"/>
  <c r="F90" i="7"/>
  <c r="F47" i="7" s="1"/>
  <c r="D90" i="1"/>
  <c r="E90" i="1"/>
  <c r="E47" i="1" s="1"/>
  <c r="E19" i="1" s="1"/>
  <c r="F90" i="1"/>
  <c r="F47" i="1" s="1"/>
  <c r="C18" i="4"/>
  <c r="D18" i="4"/>
  <c r="H18" i="4"/>
  <c r="C18" i="5"/>
  <c r="C23" i="5" s="1"/>
  <c r="D18" i="5"/>
  <c r="H18" i="5"/>
  <c r="C18" i="8"/>
  <c r="D18" i="8"/>
  <c r="H18" i="8"/>
  <c r="C18" i="9"/>
  <c r="D18" i="9"/>
  <c r="H18" i="9"/>
  <c r="C18" i="6"/>
  <c r="D18" i="6"/>
  <c r="H18" i="6"/>
  <c r="C18" i="16"/>
  <c r="C23" i="16" s="1"/>
  <c r="D18" i="16"/>
  <c r="H18" i="16"/>
  <c r="C18" i="31"/>
  <c r="D18" i="31"/>
  <c r="H18" i="31"/>
  <c r="C18" i="30"/>
  <c r="D18" i="30"/>
  <c r="D23" i="30" s="1"/>
  <c r="H18" i="30"/>
  <c r="C18" i="29"/>
  <c r="D18" i="29"/>
  <c r="H18" i="29"/>
  <c r="C18" i="28"/>
  <c r="C23" i="28" s="1"/>
  <c r="D18" i="28"/>
  <c r="H18" i="28"/>
  <c r="D18" i="27"/>
  <c r="H18" i="27"/>
  <c r="C18" i="26"/>
  <c r="D18" i="26"/>
  <c r="H18" i="26"/>
  <c r="C18" i="25"/>
  <c r="D18" i="25"/>
  <c r="H18" i="25"/>
  <c r="C18" i="24"/>
  <c r="D18" i="24"/>
  <c r="H18" i="24"/>
  <c r="C18" i="23"/>
  <c r="D18" i="23"/>
  <c r="H18" i="23"/>
  <c r="C18" i="22"/>
  <c r="D18" i="22"/>
  <c r="H18" i="22"/>
  <c r="C18" i="21"/>
  <c r="D18" i="21"/>
  <c r="H18" i="21"/>
  <c r="C18" i="20"/>
  <c r="C23" i="20" s="1"/>
  <c r="D18" i="20"/>
  <c r="H18" i="20"/>
  <c r="C18" i="19"/>
  <c r="D18" i="19"/>
  <c r="H18" i="19"/>
  <c r="C18" i="18"/>
  <c r="D18" i="18"/>
  <c r="H18" i="18"/>
  <c r="C18" i="32"/>
  <c r="D18" i="32"/>
  <c r="H18" i="32"/>
  <c r="C18" i="17"/>
  <c r="C23" i="17" s="1"/>
  <c r="D18" i="17"/>
  <c r="H18" i="17"/>
  <c r="C18" i="15"/>
  <c r="D18" i="15"/>
  <c r="H18" i="15"/>
  <c r="C18" i="14"/>
  <c r="D18" i="14"/>
  <c r="H18" i="14"/>
  <c r="C18" i="13"/>
  <c r="D18" i="13"/>
  <c r="H18" i="13"/>
  <c r="C18" i="12"/>
  <c r="C23" i="12" s="1"/>
  <c r="D18" i="12"/>
  <c r="H18" i="12"/>
  <c r="C18" i="11"/>
  <c r="D18" i="11"/>
  <c r="H18" i="11"/>
  <c r="C18" i="10"/>
  <c r="D18" i="10"/>
  <c r="H18" i="10"/>
  <c r="C18" i="7"/>
  <c r="D18" i="7"/>
  <c r="H18" i="7"/>
  <c r="C18" i="1"/>
  <c r="C23" i="1" s="1"/>
  <c r="D18" i="1"/>
  <c r="D23" i="1" s="1"/>
  <c r="H18" i="1"/>
  <c r="B18" i="4"/>
  <c r="B18" i="5"/>
  <c r="B18" i="8"/>
  <c r="B18" i="9"/>
  <c r="B18" i="6"/>
  <c r="B18" i="16"/>
  <c r="B18" i="31"/>
  <c r="B18" i="30"/>
  <c r="B18" i="29"/>
  <c r="B18" i="28"/>
  <c r="B18" i="27"/>
  <c r="B18" i="26"/>
  <c r="B18" i="25"/>
  <c r="B18" i="24"/>
  <c r="B18" i="23"/>
  <c r="B18" i="22"/>
  <c r="B18" i="21"/>
  <c r="B18" i="20"/>
  <c r="B18" i="19"/>
  <c r="B18" i="18"/>
  <c r="B18" i="32"/>
  <c r="B18" i="17"/>
  <c r="B18" i="15"/>
  <c r="B18" i="14"/>
  <c r="B18" i="13"/>
  <c r="B18" i="12"/>
  <c r="B18" i="11"/>
  <c r="B18" i="10"/>
  <c r="B18" i="7"/>
  <c r="B18" i="1"/>
  <c r="B23" i="11" l="1"/>
  <c r="B23" i="1"/>
  <c r="I19" i="13"/>
  <c r="I23" i="13" s="1"/>
  <c r="I19" i="21"/>
  <c r="I23" i="21" s="1"/>
  <c r="I19" i="29"/>
  <c r="I23" i="29" s="1"/>
  <c r="I19" i="4"/>
  <c r="I23" i="4" s="1"/>
  <c r="B23" i="7"/>
  <c r="B23" i="25"/>
  <c r="B23" i="4"/>
  <c r="B23" i="15"/>
  <c r="E19" i="7"/>
  <c r="I19" i="7" s="1"/>
  <c r="I23" i="7" s="1"/>
  <c r="E19" i="32"/>
  <c r="I19" i="32" s="1"/>
  <c r="I23" i="32" s="1"/>
  <c r="E19" i="25"/>
  <c r="I19" i="25" s="1"/>
  <c r="I23" i="25" s="1"/>
  <c r="E19" i="6"/>
  <c r="I19" i="6" s="1"/>
  <c r="I23" i="6" s="1"/>
  <c r="C19" i="32"/>
  <c r="C19" i="19"/>
  <c r="C23" i="19" s="1"/>
  <c r="C19" i="23"/>
  <c r="C19" i="24"/>
  <c r="C23" i="24" s="1"/>
  <c r="C19" i="25"/>
  <c r="C19" i="27"/>
  <c r="C23" i="27" s="1"/>
  <c r="C19" i="29"/>
  <c r="C19" i="31"/>
  <c r="C23" i="31" s="1"/>
  <c r="C19" i="6"/>
  <c r="C19" i="8"/>
  <c r="C23" i="8" s="1"/>
  <c r="C19" i="4"/>
  <c r="B23" i="21"/>
  <c r="B23" i="6"/>
  <c r="I19" i="1"/>
  <c r="E19" i="16"/>
  <c r="I19" i="16" s="1"/>
  <c r="I23" i="16" s="1"/>
  <c r="H19" i="3"/>
  <c r="B23" i="32"/>
  <c r="B19" i="3"/>
  <c r="B23" i="13"/>
  <c r="B23" i="29"/>
  <c r="B23" i="19"/>
  <c r="B23" i="23"/>
  <c r="B23" i="27"/>
  <c r="B23" i="31"/>
  <c r="B23" i="8"/>
  <c r="E19" i="10"/>
  <c r="I19" i="10" s="1"/>
  <c r="E19" i="14"/>
  <c r="I19" i="14" s="1"/>
  <c r="I23" i="14" s="1"/>
  <c r="E19" i="18"/>
  <c r="I19" i="18" s="1"/>
  <c r="E19" i="22"/>
  <c r="I19" i="22" s="1"/>
  <c r="E19" i="26"/>
  <c r="I19" i="26" s="1"/>
  <c r="E19" i="30"/>
  <c r="I19" i="30" s="1"/>
  <c r="I23" i="30" s="1"/>
  <c r="E19" i="9"/>
  <c r="I19" i="9" s="1"/>
  <c r="I23" i="1"/>
  <c r="I23" i="12"/>
  <c r="I23" i="17"/>
  <c r="I23" i="20"/>
  <c r="I23" i="24"/>
  <c r="I23" i="28"/>
  <c r="I23" i="5"/>
  <c r="B23" i="10"/>
  <c r="B23" i="14"/>
  <c r="B23" i="18"/>
  <c r="B23" i="22"/>
  <c r="B23" i="26"/>
  <c r="B23" i="30"/>
  <c r="B23" i="9"/>
  <c r="C23" i="11"/>
  <c r="C23" i="15"/>
  <c r="C23" i="23"/>
  <c r="E19" i="11"/>
  <c r="I19" i="11" s="1"/>
  <c r="I23" i="11" s="1"/>
  <c r="E19" i="15"/>
  <c r="I19" i="15" s="1"/>
  <c r="I23" i="15" s="1"/>
  <c r="E19" i="19"/>
  <c r="I19" i="19" s="1"/>
  <c r="E19" i="23"/>
  <c r="I19" i="23" s="1"/>
  <c r="I23" i="23" s="1"/>
  <c r="E19" i="27"/>
  <c r="I19" i="27" s="1"/>
  <c r="I23" i="27" s="1"/>
  <c r="E19" i="31"/>
  <c r="I19" i="31" s="1"/>
  <c r="I23" i="31" s="1"/>
  <c r="E19" i="8"/>
  <c r="I19" i="8" s="1"/>
  <c r="C23" i="14"/>
  <c r="C23" i="26"/>
  <c r="I23" i="10"/>
  <c r="I23" i="18"/>
  <c r="I23" i="22"/>
  <c r="I23" i="26"/>
  <c r="I23" i="9"/>
  <c r="C23" i="10"/>
  <c r="C23" i="18"/>
  <c r="C23" i="22"/>
  <c r="C23" i="30"/>
  <c r="C23" i="9"/>
  <c r="B23" i="12"/>
  <c r="B23" i="17"/>
  <c r="B23" i="20"/>
  <c r="B23" i="24"/>
  <c r="B23" i="28"/>
  <c r="B23" i="16"/>
  <c r="B23" i="5"/>
  <c r="C23" i="7"/>
  <c r="C23" i="13"/>
  <c r="C23" i="32"/>
  <c r="C23" i="21"/>
  <c r="C23" i="25"/>
  <c r="C23" i="29"/>
  <c r="C23" i="6"/>
  <c r="C23" i="4"/>
  <c r="I23" i="19"/>
  <c r="I23" i="8"/>
  <c r="C90" i="2"/>
  <c r="C90" i="4"/>
  <c r="C90" i="5"/>
  <c r="C90" i="8"/>
  <c r="C90" i="9"/>
  <c r="C90" i="6"/>
  <c r="C90" i="16"/>
  <c r="C90" i="31"/>
  <c r="C90" i="30"/>
  <c r="C90" i="29"/>
  <c r="C90" i="28"/>
  <c r="C90" i="27"/>
  <c r="C90" i="26"/>
  <c r="C90" i="25"/>
  <c r="C90" i="24"/>
  <c r="C90" i="23"/>
  <c r="C90" i="22"/>
  <c r="C90" i="21"/>
  <c r="C90" i="20"/>
  <c r="C90" i="19"/>
  <c r="C90" i="18"/>
  <c r="C90" i="32"/>
  <c r="C90" i="17"/>
  <c r="C90" i="15"/>
  <c r="C90" i="14"/>
  <c r="C90" i="13"/>
  <c r="C90" i="12"/>
  <c r="C90" i="11"/>
  <c r="C90" i="10"/>
  <c r="C90" i="7"/>
  <c r="C90" i="1"/>
  <c r="A2" i="2"/>
  <c r="A2" i="4" s="1"/>
  <c r="A2" i="5" s="1"/>
  <c r="A2" i="8" s="1"/>
  <c r="A2" i="9" s="1"/>
  <c r="A2" i="6" s="1"/>
  <c r="A2" i="16" s="1"/>
  <c r="A2" i="31" s="1"/>
  <c r="A2" i="30" s="1"/>
  <c r="A2" i="29" s="1"/>
  <c r="A2" i="28" s="1"/>
  <c r="A2" i="27" s="1"/>
  <c r="A2" i="26" s="1"/>
  <c r="A2" i="25" s="1"/>
  <c r="C19" i="3" l="1"/>
  <c r="I19" i="3"/>
  <c r="E19" i="3"/>
  <c r="A2" i="24"/>
  <c r="A2" i="23" s="1"/>
  <c r="A2" i="22" s="1"/>
  <c r="A2" i="21" s="1"/>
  <c r="A2" i="20" s="1"/>
  <c r="A2" i="19" s="1"/>
  <c r="A2" i="18" s="1"/>
  <c r="A2" i="32" s="1"/>
  <c r="A2" i="17" s="1"/>
  <c r="A2" i="15" s="1"/>
  <c r="A2" i="14" s="1"/>
  <c r="A2" i="13" s="1"/>
  <c r="A2" i="12" s="1"/>
  <c r="A2" i="11" s="1"/>
  <c r="A2" i="10" s="1"/>
  <c r="A2" i="7" s="1"/>
  <c r="C26" i="33"/>
  <c r="N19" i="37"/>
  <c r="O19" i="37"/>
  <c r="P19" i="37"/>
  <c r="Q19" i="37"/>
  <c r="R19" i="37"/>
  <c r="S19" i="37"/>
  <c r="T19" i="37"/>
  <c r="U19" i="37"/>
  <c r="V19" i="37"/>
  <c r="W19" i="37"/>
  <c r="X19" i="37"/>
  <c r="Y19" i="37"/>
  <c r="Z19" i="37"/>
  <c r="AA19" i="37"/>
  <c r="AB19" i="37"/>
  <c r="AC19" i="37"/>
  <c r="AD19" i="37"/>
  <c r="AE19" i="37"/>
  <c r="AF19" i="37"/>
  <c r="AG19" i="37"/>
  <c r="N20" i="37"/>
  <c r="O20" i="37"/>
  <c r="P20" i="37"/>
  <c r="Q20" i="37"/>
  <c r="R20" i="37"/>
  <c r="S20" i="37"/>
  <c r="T20" i="37"/>
  <c r="U20" i="37"/>
  <c r="V20" i="37"/>
  <c r="W20" i="37"/>
  <c r="X20" i="37"/>
  <c r="Y20" i="37"/>
  <c r="Z20" i="37"/>
  <c r="AA20" i="37"/>
  <c r="AB20" i="37"/>
  <c r="AC20" i="37"/>
  <c r="AD20" i="37"/>
  <c r="AE20" i="37"/>
  <c r="AF20" i="37"/>
  <c r="AG20" i="37"/>
  <c r="N21" i="37"/>
  <c r="O21" i="37"/>
  <c r="P21" i="37"/>
  <c r="Q21" i="37"/>
  <c r="R21" i="37"/>
  <c r="S21" i="37"/>
  <c r="T21" i="37"/>
  <c r="U21" i="37"/>
  <c r="V21" i="37"/>
  <c r="W21" i="37"/>
  <c r="X21" i="37"/>
  <c r="Y21" i="37"/>
  <c r="Z21" i="37"/>
  <c r="AA21" i="37"/>
  <c r="AB21" i="37"/>
  <c r="AC21" i="37"/>
  <c r="AD21" i="37"/>
  <c r="AE21" i="37"/>
  <c r="AF21" i="37"/>
  <c r="AG21" i="37"/>
  <c r="M19" i="37"/>
  <c r="M20" i="37"/>
  <c r="M21" i="37"/>
  <c r="L19" i="37"/>
  <c r="L20" i="37"/>
  <c r="L21" i="37"/>
  <c r="K19" i="37"/>
  <c r="K20" i="37"/>
  <c r="K21" i="37"/>
  <c r="J19" i="37"/>
  <c r="J20" i="37"/>
  <c r="J21" i="37"/>
  <c r="I19" i="37"/>
  <c r="I20" i="37"/>
  <c r="I21" i="37"/>
  <c r="H19" i="37"/>
  <c r="H20" i="37"/>
  <c r="H21" i="37"/>
  <c r="G19" i="37"/>
  <c r="G20" i="37"/>
  <c r="G21" i="37"/>
  <c r="F19" i="37"/>
  <c r="F20" i="37"/>
  <c r="F21" i="37"/>
  <c r="E19" i="37"/>
  <c r="E20" i="37"/>
  <c r="E21" i="37"/>
  <c r="D19" i="37"/>
  <c r="D20" i="37"/>
  <c r="D21" i="37"/>
  <c r="C19" i="37"/>
  <c r="C20" i="37"/>
  <c r="C21" i="37"/>
  <c r="C23" i="34"/>
  <c r="B4" i="3" l="1"/>
  <c r="C4" i="3"/>
  <c r="D4" i="3"/>
  <c r="H4" i="3"/>
  <c r="I4" i="3"/>
  <c r="B5" i="3"/>
  <c r="C5" i="3"/>
  <c r="D5" i="3"/>
  <c r="H5" i="3"/>
  <c r="I5" i="3"/>
  <c r="B6" i="3"/>
  <c r="C6" i="3"/>
  <c r="D6" i="3"/>
  <c r="H6" i="3"/>
  <c r="I6" i="3"/>
  <c r="B7" i="3"/>
  <c r="C7" i="3"/>
  <c r="D7" i="3"/>
  <c r="H7" i="3"/>
  <c r="I7" i="3"/>
  <c r="B8" i="3"/>
  <c r="C8" i="3"/>
  <c r="D8" i="3"/>
  <c r="H8" i="3"/>
  <c r="I8" i="3"/>
  <c r="B9" i="3"/>
  <c r="C9" i="3"/>
  <c r="D9" i="3"/>
  <c r="H9" i="3"/>
  <c r="I9" i="3"/>
  <c r="B10" i="3"/>
  <c r="C10" i="3"/>
  <c r="D10" i="3"/>
  <c r="H10" i="3"/>
  <c r="I10" i="3"/>
  <c r="B11" i="3"/>
  <c r="C11" i="3"/>
  <c r="D11" i="3"/>
  <c r="H11" i="3"/>
  <c r="I11" i="3"/>
  <c r="B12" i="3"/>
  <c r="C12" i="3"/>
  <c r="D12" i="3"/>
  <c r="H12" i="3"/>
  <c r="I12" i="3"/>
  <c r="B13" i="3"/>
  <c r="C13" i="3"/>
  <c r="D13" i="3"/>
  <c r="H13" i="3"/>
  <c r="I13" i="3"/>
  <c r="B14" i="3"/>
  <c r="C14" i="3"/>
  <c r="D14" i="3"/>
  <c r="H14" i="3"/>
  <c r="I14" i="3"/>
  <c r="B15" i="3"/>
  <c r="C15" i="3"/>
  <c r="D15" i="3"/>
  <c r="H15" i="3"/>
  <c r="I15" i="3"/>
  <c r="B16" i="3"/>
  <c r="C16" i="3"/>
  <c r="D16" i="3"/>
  <c r="H16" i="3"/>
  <c r="I16" i="3"/>
  <c r="B17" i="3"/>
  <c r="C17" i="3"/>
  <c r="D17" i="3"/>
  <c r="H17" i="3"/>
  <c r="I17" i="3"/>
  <c r="C3" i="3"/>
  <c r="D3" i="3"/>
  <c r="H3" i="3"/>
  <c r="I3" i="3"/>
  <c r="B55" i="2"/>
  <c r="B55" i="4"/>
  <c r="B55" i="5"/>
  <c r="B55" i="8"/>
  <c r="B55" i="9"/>
  <c r="B55" i="6"/>
  <c r="B55" i="16"/>
  <c r="B55" i="31"/>
  <c r="B55" i="30"/>
  <c r="B55" i="29"/>
  <c r="B55" i="28"/>
  <c r="B55" i="27"/>
  <c r="B55" i="26"/>
  <c r="B55" i="25"/>
  <c r="B55" i="24"/>
  <c r="B55" i="23"/>
  <c r="B55" i="22"/>
  <c r="B55" i="21"/>
  <c r="B55" i="20"/>
  <c r="B55" i="19"/>
  <c r="B55" i="18"/>
  <c r="B55" i="32"/>
  <c r="B55" i="17"/>
  <c r="B55" i="15"/>
  <c r="B55" i="14"/>
  <c r="B55" i="13"/>
  <c r="B55" i="12"/>
  <c r="B55" i="11"/>
  <c r="B55" i="10"/>
  <c r="B55" i="7"/>
  <c r="B55" i="1"/>
  <c r="F67" i="2"/>
  <c r="F67" i="4"/>
  <c r="F67" i="5"/>
  <c r="F67" i="8"/>
  <c r="F67" i="9"/>
  <c r="F67" i="6"/>
  <c r="F67" i="16"/>
  <c r="F67" i="31"/>
  <c r="F67" i="30"/>
  <c r="F67" i="29"/>
  <c r="F67" i="28"/>
  <c r="F67" i="27"/>
  <c r="F67" i="26"/>
  <c r="F67" i="25"/>
  <c r="F67" i="24"/>
  <c r="F67" i="23"/>
  <c r="F67" i="22"/>
  <c r="F67" i="21"/>
  <c r="F67" i="20"/>
  <c r="F67" i="19"/>
  <c r="F67" i="18"/>
  <c r="F67" i="32"/>
  <c r="F67" i="17"/>
  <c r="F67" i="15"/>
  <c r="F67" i="14"/>
  <c r="F67" i="13"/>
  <c r="F67" i="12"/>
  <c r="F67" i="11"/>
  <c r="F67" i="10"/>
  <c r="F67" i="7"/>
  <c r="F67" i="1"/>
  <c r="F18" i="2"/>
  <c r="F23" i="2" s="1"/>
  <c r="B40" i="4"/>
  <c r="B40" i="5"/>
  <c r="B40" i="8"/>
  <c r="B40" i="9"/>
  <c r="B40" i="6"/>
  <c r="B40" i="16"/>
  <c r="B40" i="31"/>
  <c r="B40" i="30"/>
  <c r="B40" i="29"/>
  <c r="B40" i="28"/>
  <c r="B40" i="27"/>
  <c r="B40" i="26"/>
  <c r="B40" i="25"/>
  <c r="B40" i="24"/>
  <c r="B40" i="23"/>
  <c r="B40" i="22"/>
  <c r="B40" i="21"/>
  <c r="B40" i="20"/>
  <c r="B40" i="19"/>
  <c r="B40" i="18"/>
  <c r="B40" i="32"/>
  <c r="B40" i="17"/>
  <c r="B40" i="15"/>
  <c r="B40" i="14"/>
  <c r="B40" i="13"/>
  <c r="B40" i="12"/>
  <c r="B40" i="11"/>
  <c r="B40" i="10"/>
  <c r="B40" i="7"/>
  <c r="B40" i="1"/>
  <c r="F4" i="4"/>
  <c r="F5" i="4"/>
  <c r="F6" i="4"/>
  <c r="F7" i="4"/>
  <c r="F8" i="4"/>
  <c r="F10" i="4"/>
  <c r="F11" i="4"/>
  <c r="F12" i="4"/>
  <c r="F13" i="4"/>
  <c r="F14" i="4"/>
  <c r="F15" i="4"/>
  <c r="F16" i="4"/>
  <c r="F17" i="4"/>
  <c r="F19" i="4"/>
  <c r="F4" i="5"/>
  <c r="F5" i="5"/>
  <c r="F6" i="5"/>
  <c r="F7" i="5"/>
  <c r="F8" i="5"/>
  <c r="F10" i="5"/>
  <c r="F11" i="5"/>
  <c r="F12" i="5"/>
  <c r="F13" i="5"/>
  <c r="F14" i="5"/>
  <c r="F15" i="5"/>
  <c r="F16" i="5"/>
  <c r="F17" i="5"/>
  <c r="F19" i="5"/>
  <c r="F4" i="8"/>
  <c r="F5" i="8"/>
  <c r="F6" i="8"/>
  <c r="F7" i="8"/>
  <c r="F8" i="8"/>
  <c r="F10" i="8"/>
  <c r="F11" i="8"/>
  <c r="F12" i="8"/>
  <c r="F13" i="8"/>
  <c r="F14" i="8"/>
  <c r="F15" i="8"/>
  <c r="F16" i="8"/>
  <c r="F17" i="8"/>
  <c r="F19" i="8"/>
  <c r="F4" i="9"/>
  <c r="F5" i="9"/>
  <c r="F6" i="9"/>
  <c r="F7" i="9"/>
  <c r="F8" i="9"/>
  <c r="F10" i="9"/>
  <c r="F11" i="9"/>
  <c r="F12" i="9"/>
  <c r="F13" i="9"/>
  <c r="F14" i="9"/>
  <c r="F15" i="9"/>
  <c r="F16" i="9"/>
  <c r="F17" i="9"/>
  <c r="F19" i="9"/>
  <c r="F4" i="6"/>
  <c r="F5" i="6"/>
  <c r="F6" i="6"/>
  <c r="F7" i="6"/>
  <c r="F8" i="6"/>
  <c r="F10" i="6"/>
  <c r="F11" i="6"/>
  <c r="F12" i="6"/>
  <c r="F13" i="6"/>
  <c r="F14" i="6"/>
  <c r="F15" i="6"/>
  <c r="F16" i="6"/>
  <c r="F17" i="6"/>
  <c r="F19" i="6"/>
  <c r="F4" i="16"/>
  <c r="F5" i="16"/>
  <c r="F6" i="16"/>
  <c r="F7" i="16"/>
  <c r="F8" i="16"/>
  <c r="F10" i="16"/>
  <c r="F11" i="16"/>
  <c r="F12" i="16"/>
  <c r="F13" i="16"/>
  <c r="F14" i="16"/>
  <c r="F15" i="16"/>
  <c r="F16" i="16"/>
  <c r="F17" i="16"/>
  <c r="F19" i="16"/>
  <c r="F4" i="31"/>
  <c r="F5" i="31"/>
  <c r="F6" i="31"/>
  <c r="F7" i="31"/>
  <c r="F8" i="31"/>
  <c r="F10" i="31"/>
  <c r="F11" i="31"/>
  <c r="F12" i="31"/>
  <c r="F13" i="31"/>
  <c r="F14" i="31"/>
  <c r="F15" i="31"/>
  <c r="F16" i="31"/>
  <c r="F17" i="31"/>
  <c r="F19" i="31"/>
  <c r="F4" i="30"/>
  <c r="F5" i="30"/>
  <c r="F6" i="30"/>
  <c r="F7" i="30"/>
  <c r="F8" i="30"/>
  <c r="F10" i="30"/>
  <c r="F11" i="30"/>
  <c r="F12" i="30"/>
  <c r="F13" i="30"/>
  <c r="F14" i="30"/>
  <c r="F15" i="30"/>
  <c r="F16" i="30"/>
  <c r="F17" i="30"/>
  <c r="F19" i="30"/>
  <c r="F4" i="29"/>
  <c r="F5" i="29"/>
  <c r="F6" i="29"/>
  <c r="F7" i="29"/>
  <c r="F8" i="29"/>
  <c r="F10" i="29"/>
  <c r="F11" i="29"/>
  <c r="F12" i="29"/>
  <c r="F13" i="29"/>
  <c r="F14" i="29"/>
  <c r="F15" i="29"/>
  <c r="F16" i="29"/>
  <c r="F17" i="29"/>
  <c r="F19" i="29"/>
  <c r="F4" i="28"/>
  <c r="F5" i="28"/>
  <c r="F6" i="28"/>
  <c r="F7" i="28"/>
  <c r="F8" i="28"/>
  <c r="F10" i="28"/>
  <c r="F11" i="28"/>
  <c r="F12" i="28"/>
  <c r="F13" i="28"/>
  <c r="F14" i="28"/>
  <c r="F15" i="28"/>
  <c r="F16" i="28"/>
  <c r="F17" i="28"/>
  <c r="F19" i="28"/>
  <c r="F4" i="27"/>
  <c r="F5" i="27"/>
  <c r="F6" i="27"/>
  <c r="F7" i="27"/>
  <c r="F8" i="27"/>
  <c r="F10" i="27"/>
  <c r="F11" i="27"/>
  <c r="F12" i="27"/>
  <c r="F13" i="27"/>
  <c r="F14" i="27"/>
  <c r="F15" i="27"/>
  <c r="F16" i="27"/>
  <c r="F17" i="27"/>
  <c r="F19" i="27"/>
  <c r="F4" i="26"/>
  <c r="F5" i="26"/>
  <c r="F6" i="26"/>
  <c r="F7" i="26"/>
  <c r="F8" i="26"/>
  <c r="F10" i="26"/>
  <c r="F11" i="26"/>
  <c r="F12" i="26"/>
  <c r="F13" i="26"/>
  <c r="F14" i="26"/>
  <c r="F15" i="26"/>
  <c r="F16" i="26"/>
  <c r="F17" i="26"/>
  <c r="F19" i="26"/>
  <c r="F4" i="25"/>
  <c r="F5" i="25"/>
  <c r="F6" i="25"/>
  <c r="F7" i="25"/>
  <c r="F8" i="25"/>
  <c r="F10" i="25"/>
  <c r="F11" i="25"/>
  <c r="F12" i="25"/>
  <c r="F13" i="25"/>
  <c r="F14" i="25"/>
  <c r="F15" i="25"/>
  <c r="F16" i="25"/>
  <c r="F17" i="25"/>
  <c r="F19" i="25"/>
  <c r="F4" i="24"/>
  <c r="F5" i="24"/>
  <c r="F6" i="24"/>
  <c r="F7" i="24"/>
  <c r="F8" i="24"/>
  <c r="F10" i="24"/>
  <c r="F11" i="24"/>
  <c r="F12" i="24"/>
  <c r="F13" i="24"/>
  <c r="F14" i="24"/>
  <c r="F15" i="24"/>
  <c r="F16" i="24"/>
  <c r="F17" i="24"/>
  <c r="F19" i="24"/>
  <c r="F4" i="23"/>
  <c r="F5" i="23"/>
  <c r="F6" i="23"/>
  <c r="F7" i="23"/>
  <c r="F8" i="23"/>
  <c r="F10" i="23"/>
  <c r="F11" i="23"/>
  <c r="F12" i="23"/>
  <c r="F13" i="23"/>
  <c r="F14" i="23"/>
  <c r="F15" i="23"/>
  <c r="F16" i="23"/>
  <c r="F17" i="23"/>
  <c r="F19" i="23"/>
  <c r="F4" i="22"/>
  <c r="F5" i="22"/>
  <c r="F6" i="22"/>
  <c r="F7" i="22"/>
  <c r="F8" i="22"/>
  <c r="F10" i="22"/>
  <c r="F11" i="22"/>
  <c r="F12" i="22"/>
  <c r="F13" i="22"/>
  <c r="F14" i="22"/>
  <c r="F15" i="22"/>
  <c r="F16" i="22"/>
  <c r="F17" i="22"/>
  <c r="F19" i="22"/>
  <c r="F4" i="21"/>
  <c r="F5" i="21"/>
  <c r="F6" i="21"/>
  <c r="F7" i="21"/>
  <c r="F8" i="21"/>
  <c r="F10" i="21"/>
  <c r="F11" i="21"/>
  <c r="F12" i="21"/>
  <c r="F13" i="21"/>
  <c r="F14" i="21"/>
  <c r="F15" i="21"/>
  <c r="F16" i="21"/>
  <c r="F17" i="21"/>
  <c r="F19" i="21"/>
  <c r="F4" i="20"/>
  <c r="F5" i="20"/>
  <c r="F6" i="20"/>
  <c r="F7" i="20"/>
  <c r="F8" i="20"/>
  <c r="F10" i="20"/>
  <c r="F11" i="20"/>
  <c r="F12" i="20"/>
  <c r="F13" i="20"/>
  <c r="F14" i="20"/>
  <c r="F15" i="20"/>
  <c r="F16" i="20"/>
  <c r="F17" i="20"/>
  <c r="F19" i="20"/>
  <c r="F4" i="19"/>
  <c r="F5" i="19"/>
  <c r="F6" i="19"/>
  <c r="F7" i="19"/>
  <c r="F8" i="19"/>
  <c r="F10" i="19"/>
  <c r="F11" i="19"/>
  <c r="F12" i="19"/>
  <c r="F13" i="19"/>
  <c r="F14" i="19"/>
  <c r="F15" i="19"/>
  <c r="F16" i="19"/>
  <c r="F17" i="19"/>
  <c r="F19" i="19"/>
  <c r="F4" i="18"/>
  <c r="F5" i="18"/>
  <c r="F6" i="18"/>
  <c r="F7" i="18"/>
  <c r="F8" i="18"/>
  <c r="F10" i="18"/>
  <c r="F11" i="18"/>
  <c r="F12" i="18"/>
  <c r="F13" i="18"/>
  <c r="F14" i="18"/>
  <c r="F15" i="18"/>
  <c r="F16" i="18"/>
  <c r="F17" i="18"/>
  <c r="F19" i="18"/>
  <c r="F4" i="32"/>
  <c r="F5" i="32"/>
  <c r="F6" i="32"/>
  <c r="F7" i="32"/>
  <c r="F8" i="32"/>
  <c r="F10" i="32"/>
  <c r="F11" i="32"/>
  <c r="F12" i="32"/>
  <c r="F13" i="32"/>
  <c r="F14" i="32"/>
  <c r="F15" i="32"/>
  <c r="F16" i="32"/>
  <c r="F17" i="32"/>
  <c r="F19" i="32"/>
  <c r="F4" i="17"/>
  <c r="F5" i="17"/>
  <c r="F6" i="17"/>
  <c r="F7" i="17"/>
  <c r="F8" i="17"/>
  <c r="F10" i="17"/>
  <c r="F11" i="17"/>
  <c r="F12" i="17"/>
  <c r="F13" i="17"/>
  <c r="F14" i="17"/>
  <c r="F15" i="17"/>
  <c r="F16" i="17"/>
  <c r="F17" i="17"/>
  <c r="F19" i="17"/>
  <c r="F4" i="15"/>
  <c r="F5" i="15"/>
  <c r="F6" i="15"/>
  <c r="F7" i="15"/>
  <c r="F8" i="15"/>
  <c r="F10" i="15"/>
  <c r="F11" i="15"/>
  <c r="F12" i="15"/>
  <c r="F13" i="15"/>
  <c r="F14" i="15"/>
  <c r="F15" i="15"/>
  <c r="F16" i="15"/>
  <c r="F17" i="15"/>
  <c r="F19" i="15"/>
  <c r="F4" i="14"/>
  <c r="F5" i="14"/>
  <c r="F6" i="14"/>
  <c r="F7" i="14"/>
  <c r="F8" i="14"/>
  <c r="F10" i="14"/>
  <c r="F11" i="14"/>
  <c r="F12" i="14"/>
  <c r="F13" i="14"/>
  <c r="F14" i="14"/>
  <c r="F15" i="14"/>
  <c r="F16" i="14"/>
  <c r="F17" i="14"/>
  <c r="F19" i="14"/>
  <c r="F4" i="13"/>
  <c r="F5" i="13"/>
  <c r="F6" i="13"/>
  <c r="F7" i="13"/>
  <c r="F8" i="13"/>
  <c r="F10" i="13"/>
  <c r="F11" i="13"/>
  <c r="F12" i="13"/>
  <c r="F13" i="13"/>
  <c r="F14" i="13"/>
  <c r="F15" i="13"/>
  <c r="F16" i="13"/>
  <c r="F17" i="13"/>
  <c r="F19" i="13"/>
  <c r="F4" i="12"/>
  <c r="F5" i="12"/>
  <c r="F6" i="12"/>
  <c r="F7" i="12"/>
  <c r="F8" i="12"/>
  <c r="F10" i="12"/>
  <c r="F11" i="12"/>
  <c r="F12" i="12"/>
  <c r="F13" i="12"/>
  <c r="F14" i="12"/>
  <c r="F15" i="12"/>
  <c r="F16" i="12"/>
  <c r="F17" i="12"/>
  <c r="F19" i="12"/>
  <c r="F4" i="11"/>
  <c r="F5" i="11"/>
  <c r="F6" i="11"/>
  <c r="F7" i="11"/>
  <c r="F8" i="11"/>
  <c r="F10" i="11"/>
  <c r="F11" i="11"/>
  <c r="F12" i="11"/>
  <c r="F13" i="11"/>
  <c r="F14" i="11"/>
  <c r="F15" i="11"/>
  <c r="F16" i="11"/>
  <c r="F17" i="11"/>
  <c r="F19" i="11"/>
  <c r="F4" i="10"/>
  <c r="F5" i="10"/>
  <c r="F6" i="10"/>
  <c r="F7" i="10"/>
  <c r="F8" i="10"/>
  <c r="F10" i="10"/>
  <c r="F11" i="10"/>
  <c r="F12" i="10"/>
  <c r="F13" i="10"/>
  <c r="F14" i="10"/>
  <c r="F15" i="10"/>
  <c r="F16" i="10"/>
  <c r="F17" i="10"/>
  <c r="F19" i="10"/>
  <c r="F4" i="7"/>
  <c r="F5" i="7"/>
  <c r="F6" i="7"/>
  <c r="F7" i="7"/>
  <c r="F8" i="7"/>
  <c r="F10" i="7"/>
  <c r="F11" i="7"/>
  <c r="F12" i="7"/>
  <c r="F13" i="7"/>
  <c r="F14" i="7"/>
  <c r="F15" i="7"/>
  <c r="F16" i="7"/>
  <c r="F17" i="7"/>
  <c r="F19" i="7"/>
  <c r="F4" i="1"/>
  <c r="F5" i="1"/>
  <c r="F6" i="1"/>
  <c r="F7" i="1"/>
  <c r="F8" i="1"/>
  <c r="F10" i="1"/>
  <c r="F11" i="1"/>
  <c r="F12" i="1"/>
  <c r="F13" i="1"/>
  <c r="F14" i="1"/>
  <c r="F15" i="1"/>
  <c r="F16" i="1"/>
  <c r="F17" i="1"/>
  <c r="F19" i="1"/>
  <c r="F3" i="4"/>
  <c r="F3" i="5"/>
  <c r="F3" i="8"/>
  <c r="F3" i="9"/>
  <c r="F3" i="6"/>
  <c r="F3" i="16"/>
  <c r="F3" i="31"/>
  <c r="F3" i="30"/>
  <c r="F3" i="29"/>
  <c r="F3" i="28"/>
  <c r="F3" i="27"/>
  <c r="F3" i="26"/>
  <c r="F3" i="25"/>
  <c r="F3" i="24"/>
  <c r="F3" i="23"/>
  <c r="F3" i="22"/>
  <c r="F3" i="21"/>
  <c r="F3" i="20"/>
  <c r="F3" i="19"/>
  <c r="F3" i="18"/>
  <c r="F3" i="32"/>
  <c r="F3" i="17"/>
  <c r="F3" i="15"/>
  <c r="F3" i="14"/>
  <c r="F3" i="13"/>
  <c r="F3" i="12"/>
  <c r="F3" i="11"/>
  <c r="F3" i="10"/>
  <c r="F3" i="7"/>
  <c r="F3" i="1"/>
  <c r="G19" i="4"/>
  <c r="G19" i="5"/>
  <c r="G19" i="8"/>
  <c r="G19" i="9"/>
  <c r="G19" i="6"/>
  <c r="G19" i="16"/>
  <c r="G19" i="31"/>
  <c r="G19" i="30"/>
  <c r="G19" i="29"/>
  <c r="G19" i="28"/>
  <c r="G19" i="27"/>
  <c r="G19" i="26"/>
  <c r="G19" i="25"/>
  <c r="G19" i="24"/>
  <c r="G19" i="23"/>
  <c r="G19" i="22"/>
  <c r="G19" i="21"/>
  <c r="G19" i="20"/>
  <c r="G19" i="19"/>
  <c r="G19" i="18"/>
  <c r="G19" i="32"/>
  <c r="G19" i="17"/>
  <c r="G19" i="15"/>
  <c r="G19" i="14"/>
  <c r="G19" i="13"/>
  <c r="G19" i="12"/>
  <c r="G19" i="11"/>
  <c r="G19" i="10"/>
  <c r="G19" i="7"/>
  <c r="G19" i="1"/>
  <c r="E3" i="31"/>
  <c r="E3" i="30"/>
  <c r="E3" i="25"/>
  <c r="E3" i="24"/>
  <c r="E3" i="22"/>
  <c r="E3" i="21"/>
  <c r="E3" i="20"/>
  <c r="E3" i="18"/>
  <c r="E3" i="32"/>
  <c r="E3" i="17"/>
  <c r="E3" i="15"/>
  <c r="E3" i="14"/>
  <c r="E3" i="13"/>
  <c r="E3" i="12"/>
  <c r="E3" i="11"/>
  <c r="E3" i="10"/>
  <c r="E3" i="7"/>
  <c r="H23" i="4"/>
  <c r="H23" i="5"/>
  <c r="H23" i="8"/>
  <c r="H23" i="9"/>
  <c r="H23" i="6"/>
  <c r="H23" i="16"/>
  <c r="H23" i="31"/>
  <c r="H23" i="30"/>
  <c r="H23" i="29"/>
  <c r="H23" i="28"/>
  <c r="H23" i="27"/>
  <c r="H23" i="26"/>
  <c r="D23" i="25"/>
  <c r="H23" i="25"/>
  <c r="D23" i="24"/>
  <c r="H23" i="24"/>
  <c r="D23" i="23"/>
  <c r="H23" i="23"/>
  <c r="D23" i="22"/>
  <c r="H23" i="22"/>
  <c r="D23" i="21"/>
  <c r="H23" i="21"/>
  <c r="H23" i="20"/>
  <c r="D23" i="19"/>
  <c r="H23" i="19"/>
  <c r="D23" i="18"/>
  <c r="H23" i="18"/>
  <c r="D23" i="32"/>
  <c r="H23" i="32"/>
  <c r="D23" i="17"/>
  <c r="H23" i="17"/>
  <c r="D23" i="15"/>
  <c r="H23" i="15"/>
  <c r="D23" i="14"/>
  <c r="H23" i="14"/>
  <c r="D23" i="13"/>
  <c r="H23" i="13"/>
  <c r="D23" i="12"/>
  <c r="H23" i="12"/>
  <c r="D23" i="11"/>
  <c r="I30" i="11" s="1"/>
  <c r="H23" i="11"/>
  <c r="D23" i="10"/>
  <c r="I30" i="10" s="1"/>
  <c r="H23" i="10"/>
  <c r="D23" i="7"/>
  <c r="H23" i="7"/>
  <c r="I30" i="1"/>
  <c r="E4" i="4"/>
  <c r="G4" i="4" s="1"/>
  <c r="E5" i="4"/>
  <c r="G5" i="4" s="1"/>
  <c r="E6" i="4"/>
  <c r="G6" i="4" s="1"/>
  <c r="E7" i="4"/>
  <c r="G7" i="4" s="1"/>
  <c r="E9" i="4"/>
  <c r="G9" i="4" s="1"/>
  <c r="E10" i="4"/>
  <c r="G10" i="4" s="1"/>
  <c r="E11" i="4"/>
  <c r="G11" i="4" s="1"/>
  <c r="E12" i="4"/>
  <c r="G12" i="4" s="1"/>
  <c r="E13" i="4"/>
  <c r="G13" i="4" s="1"/>
  <c r="G14" i="4"/>
  <c r="E15" i="4"/>
  <c r="G15" i="4" s="1"/>
  <c r="G16" i="4"/>
  <c r="E17" i="4"/>
  <c r="G17" i="4" s="1"/>
  <c r="E4" i="5"/>
  <c r="G4" i="5" s="1"/>
  <c r="G5" i="5"/>
  <c r="G6" i="5"/>
  <c r="G7" i="5"/>
  <c r="G9" i="5"/>
  <c r="E10" i="5"/>
  <c r="G11" i="5"/>
  <c r="E12" i="5"/>
  <c r="G12" i="5" s="1"/>
  <c r="G13" i="5"/>
  <c r="G14" i="5"/>
  <c r="G15" i="5"/>
  <c r="G16" i="5"/>
  <c r="G17" i="5"/>
  <c r="E4" i="8"/>
  <c r="G4" i="8" s="1"/>
  <c r="G5" i="8"/>
  <c r="G6" i="8"/>
  <c r="G7" i="8"/>
  <c r="G9" i="8"/>
  <c r="E10" i="8"/>
  <c r="G10" i="8" s="1"/>
  <c r="G11" i="8"/>
  <c r="E12" i="8"/>
  <c r="G12" i="8" s="1"/>
  <c r="G13" i="8"/>
  <c r="G14" i="8"/>
  <c r="G15" i="8"/>
  <c r="G16" i="8"/>
  <c r="G17" i="8"/>
  <c r="E4" i="9"/>
  <c r="G4" i="9" s="1"/>
  <c r="G5" i="9"/>
  <c r="G6" i="9"/>
  <c r="G7" i="9"/>
  <c r="G9" i="9"/>
  <c r="E10" i="9"/>
  <c r="G11" i="9"/>
  <c r="E12" i="9"/>
  <c r="G12" i="9" s="1"/>
  <c r="G13" i="9"/>
  <c r="G14" i="9"/>
  <c r="G15" i="9"/>
  <c r="G16" i="9"/>
  <c r="G17" i="9"/>
  <c r="E4" i="6"/>
  <c r="G4" i="6" s="1"/>
  <c r="G5" i="6"/>
  <c r="G6" i="6"/>
  <c r="G7" i="6"/>
  <c r="G9" i="6"/>
  <c r="E10" i="6"/>
  <c r="G10" i="6" s="1"/>
  <c r="G11" i="6"/>
  <c r="E12" i="6"/>
  <c r="G12" i="6" s="1"/>
  <c r="G13" i="6"/>
  <c r="G14" i="6"/>
  <c r="G15" i="6"/>
  <c r="G16" i="6"/>
  <c r="G17" i="6"/>
  <c r="E4" i="16"/>
  <c r="G4" i="16" s="1"/>
  <c r="G5" i="16"/>
  <c r="G6" i="16"/>
  <c r="G7" i="16"/>
  <c r="G9" i="16"/>
  <c r="E10" i="16"/>
  <c r="G11" i="16"/>
  <c r="E12" i="16"/>
  <c r="G12" i="16" s="1"/>
  <c r="G13" i="16"/>
  <c r="G14" i="16"/>
  <c r="G15" i="16"/>
  <c r="G16" i="16"/>
  <c r="G17" i="16"/>
  <c r="E4" i="31"/>
  <c r="G4" i="31" s="1"/>
  <c r="E5" i="31"/>
  <c r="G5" i="31" s="1"/>
  <c r="E6" i="31"/>
  <c r="G6" i="31" s="1"/>
  <c r="E7" i="31"/>
  <c r="G7" i="31" s="1"/>
  <c r="E9" i="31"/>
  <c r="G9" i="31" s="1"/>
  <c r="E10" i="31"/>
  <c r="G10" i="31" s="1"/>
  <c r="E11" i="31"/>
  <c r="G11" i="31" s="1"/>
  <c r="E12" i="31"/>
  <c r="G12" i="31" s="1"/>
  <c r="E13" i="31"/>
  <c r="G13" i="31" s="1"/>
  <c r="G14" i="31"/>
  <c r="E15" i="31"/>
  <c r="G15" i="31" s="1"/>
  <c r="G16" i="31"/>
  <c r="E17" i="31"/>
  <c r="G17" i="31" s="1"/>
  <c r="E4" i="30"/>
  <c r="G4" i="30" s="1"/>
  <c r="E5" i="30"/>
  <c r="G5" i="30" s="1"/>
  <c r="E6" i="30"/>
  <c r="G6" i="30" s="1"/>
  <c r="E7" i="30"/>
  <c r="G7" i="30" s="1"/>
  <c r="E9" i="30"/>
  <c r="G9" i="30" s="1"/>
  <c r="E10" i="30"/>
  <c r="E11" i="30"/>
  <c r="G11" i="30" s="1"/>
  <c r="E12" i="30"/>
  <c r="G12" i="30" s="1"/>
  <c r="E13" i="30"/>
  <c r="G13" i="30" s="1"/>
  <c r="G14" i="30"/>
  <c r="G15" i="30"/>
  <c r="G16" i="30"/>
  <c r="E17" i="30"/>
  <c r="G17" i="30" s="1"/>
  <c r="E4" i="29"/>
  <c r="G4" i="29" s="1"/>
  <c r="G5" i="29"/>
  <c r="G6" i="29"/>
  <c r="G7" i="29"/>
  <c r="G9" i="29"/>
  <c r="E10" i="29"/>
  <c r="G10" i="29" s="1"/>
  <c r="G11" i="29"/>
  <c r="E12" i="29"/>
  <c r="G12" i="29" s="1"/>
  <c r="G13" i="29"/>
  <c r="G14" i="29"/>
  <c r="G15" i="29"/>
  <c r="G16" i="29"/>
  <c r="G17" i="29"/>
  <c r="E4" i="28"/>
  <c r="G4" i="28" s="1"/>
  <c r="G5" i="28"/>
  <c r="G6" i="28"/>
  <c r="G7" i="28"/>
  <c r="G9" i="28"/>
  <c r="E10" i="28"/>
  <c r="G11" i="28"/>
  <c r="E12" i="28"/>
  <c r="G12" i="28" s="1"/>
  <c r="G13" i="28"/>
  <c r="G14" i="28"/>
  <c r="G15" i="28"/>
  <c r="G16" i="28"/>
  <c r="G17" i="28"/>
  <c r="E4" i="27"/>
  <c r="G4" i="27" s="1"/>
  <c r="G5" i="27"/>
  <c r="G6" i="27"/>
  <c r="G7" i="27"/>
  <c r="G9" i="27"/>
  <c r="E10" i="27"/>
  <c r="G10" i="27" s="1"/>
  <c r="G11" i="27"/>
  <c r="E12" i="27"/>
  <c r="G12" i="27" s="1"/>
  <c r="G13" i="27"/>
  <c r="G14" i="27"/>
  <c r="G15" i="27"/>
  <c r="G16" i="27"/>
  <c r="G17" i="27"/>
  <c r="E4" i="26"/>
  <c r="G4" i="26" s="1"/>
  <c r="G5" i="26"/>
  <c r="G6" i="26"/>
  <c r="G7" i="26"/>
  <c r="G9" i="26"/>
  <c r="E10" i="26"/>
  <c r="G11" i="26"/>
  <c r="E12" i="26"/>
  <c r="G12" i="26" s="1"/>
  <c r="G13" i="26"/>
  <c r="G14" i="26"/>
  <c r="G15" i="26"/>
  <c r="G16" i="26"/>
  <c r="G17" i="26"/>
  <c r="E4" i="25"/>
  <c r="G4" i="25" s="1"/>
  <c r="E5" i="25"/>
  <c r="G5" i="25" s="1"/>
  <c r="E6" i="25"/>
  <c r="G6" i="25" s="1"/>
  <c r="E7" i="25"/>
  <c r="G7" i="25" s="1"/>
  <c r="E8" i="25"/>
  <c r="E9" i="25"/>
  <c r="G9" i="25" s="1"/>
  <c r="E10" i="25"/>
  <c r="G10" i="25" s="1"/>
  <c r="E11" i="25"/>
  <c r="G11" i="25" s="1"/>
  <c r="E12" i="25"/>
  <c r="G12" i="25" s="1"/>
  <c r="E13" i="25"/>
  <c r="G13" i="25" s="1"/>
  <c r="E14" i="25"/>
  <c r="G14" i="25" s="1"/>
  <c r="E15" i="25"/>
  <c r="G15" i="25" s="1"/>
  <c r="E16" i="25"/>
  <c r="G16" i="25" s="1"/>
  <c r="E17" i="25"/>
  <c r="G17" i="25" s="1"/>
  <c r="E4" i="24"/>
  <c r="G4" i="24" s="1"/>
  <c r="E5" i="24"/>
  <c r="G5" i="24" s="1"/>
  <c r="E6" i="24"/>
  <c r="G6" i="24" s="1"/>
  <c r="E7" i="24"/>
  <c r="G7" i="24" s="1"/>
  <c r="E8" i="24"/>
  <c r="E9" i="24"/>
  <c r="G9" i="24" s="1"/>
  <c r="E10" i="24"/>
  <c r="E11" i="24"/>
  <c r="G11" i="24" s="1"/>
  <c r="E12" i="24"/>
  <c r="G12" i="24" s="1"/>
  <c r="E13" i="24"/>
  <c r="G13" i="24" s="1"/>
  <c r="E14" i="24"/>
  <c r="G14" i="24" s="1"/>
  <c r="E15" i="24"/>
  <c r="G15" i="24" s="1"/>
  <c r="E16" i="24"/>
  <c r="G16" i="24" s="1"/>
  <c r="E17" i="24"/>
  <c r="G17" i="24" s="1"/>
  <c r="E4" i="23"/>
  <c r="G4" i="23" s="1"/>
  <c r="G5" i="23"/>
  <c r="G6" i="23"/>
  <c r="G7" i="23"/>
  <c r="E9" i="23"/>
  <c r="G9" i="23" s="1"/>
  <c r="E10" i="23"/>
  <c r="G10" i="23" s="1"/>
  <c r="G11" i="23"/>
  <c r="E12" i="23"/>
  <c r="G12" i="23" s="1"/>
  <c r="G13" i="23"/>
  <c r="G14" i="23"/>
  <c r="G15" i="23"/>
  <c r="G16" i="23"/>
  <c r="G17" i="23"/>
  <c r="E4" i="22"/>
  <c r="G4" i="22" s="1"/>
  <c r="E5" i="22"/>
  <c r="G5" i="22" s="1"/>
  <c r="E6" i="22"/>
  <c r="G6" i="22" s="1"/>
  <c r="E7" i="22"/>
  <c r="G7" i="22" s="1"/>
  <c r="E8" i="22"/>
  <c r="E9" i="22"/>
  <c r="G9" i="22" s="1"/>
  <c r="E10" i="22"/>
  <c r="E11" i="22"/>
  <c r="G11" i="22" s="1"/>
  <c r="E12" i="22"/>
  <c r="G12" i="22" s="1"/>
  <c r="E13" i="22"/>
  <c r="G13" i="22" s="1"/>
  <c r="E14" i="22"/>
  <c r="G14" i="22" s="1"/>
  <c r="E15" i="22"/>
  <c r="G15" i="22" s="1"/>
  <c r="E16" i="22"/>
  <c r="G16" i="22" s="1"/>
  <c r="E17" i="22"/>
  <c r="G17" i="22" s="1"/>
  <c r="E4" i="21"/>
  <c r="G4" i="21" s="1"/>
  <c r="E5" i="21"/>
  <c r="G5" i="21" s="1"/>
  <c r="E6" i="21"/>
  <c r="G6" i="21" s="1"/>
  <c r="E7" i="21"/>
  <c r="G7" i="21" s="1"/>
  <c r="E8" i="21"/>
  <c r="E9" i="21"/>
  <c r="G9" i="21" s="1"/>
  <c r="E10" i="21"/>
  <c r="G10" i="21" s="1"/>
  <c r="E11" i="21"/>
  <c r="G11" i="21" s="1"/>
  <c r="E12" i="21"/>
  <c r="G12" i="21" s="1"/>
  <c r="E13" i="21"/>
  <c r="G13" i="21" s="1"/>
  <c r="E14" i="21"/>
  <c r="G14" i="21" s="1"/>
  <c r="E15" i="21"/>
  <c r="G15" i="21" s="1"/>
  <c r="E16" i="21"/>
  <c r="G16" i="21" s="1"/>
  <c r="E17" i="21"/>
  <c r="G17" i="21" s="1"/>
  <c r="E4" i="20"/>
  <c r="G4" i="20" s="1"/>
  <c r="E5" i="20"/>
  <c r="G5" i="20" s="1"/>
  <c r="E6" i="20"/>
  <c r="G6" i="20" s="1"/>
  <c r="E7" i="20"/>
  <c r="G7" i="20" s="1"/>
  <c r="E8" i="20"/>
  <c r="E9" i="20"/>
  <c r="G9" i="20" s="1"/>
  <c r="E10" i="20"/>
  <c r="E11" i="20"/>
  <c r="G11" i="20" s="1"/>
  <c r="E12" i="20"/>
  <c r="G12" i="20" s="1"/>
  <c r="E13" i="20"/>
  <c r="G13" i="20" s="1"/>
  <c r="E14" i="20"/>
  <c r="G14" i="20" s="1"/>
  <c r="E15" i="20"/>
  <c r="G15" i="20" s="1"/>
  <c r="E16" i="20"/>
  <c r="G16" i="20" s="1"/>
  <c r="E17" i="20"/>
  <c r="G17" i="20" s="1"/>
  <c r="G4" i="19"/>
  <c r="G5" i="19"/>
  <c r="E6" i="19"/>
  <c r="G6" i="19" s="1"/>
  <c r="E7" i="19"/>
  <c r="G7" i="19" s="1"/>
  <c r="E8" i="19"/>
  <c r="E9" i="19"/>
  <c r="G9" i="19" s="1"/>
  <c r="E10" i="19"/>
  <c r="G10" i="19" s="1"/>
  <c r="E11" i="19"/>
  <c r="G11" i="19" s="1"/>
  <c r="E12" i="19"/>
  <c r="G12" i="19" s="1"/>
  <c r="E13" i="19"/>
  <c r="G13" i="19" s="1"/>
  <c r="E14" i="19"/>
  <c r="G14" i="19" s="1"/>
  <c r="E15" i="19"/>
  <c r="G15" i="19" s="1"/>
  <c r="E16" i="19"/>
  <c r="G16" i="19" s="1"/>
  <c r="E17" i="19"/>
  <c r="G17" i="19" s="1"/>
  <c r="E4" i="18"/>
  <c r="G4" i="18" s="1"/>
  <c r="E5" i="18"/>
  <c r="G5" i="18" s="1"/>
  <c r="E6" i="18"/>
  <c r="G6" i="18" s="1"/>
  <c r="E7" i="18"/>
  <c r="G7" i="18" s="1"/>
  <c r="E8" i="18"/>
  <c r="E9" i="18"/>
  <c r="G9" i="18" s="1"/>
  <c r="E10" i="18"/>
  <c r="E11" i="18"/>
  <c r="G11" i="18" s="1"/>
  <c r="E12" i="18"/>
  <c r="G12" i="18" s="1"/>
  <c r="E13" i="18"/>
  <c r="G13" i="18" s="1"/>
  <c r="E14" i="18"/>
  <c r="G14" i="18" s="1"/>
  <c r="E15" i="18"/>
  <c r="G15" i="18" s="1"/>
  <c r="E16" i="18"/>
  <c r="G16" i="18" s="1"/>
  <c r="E17" i="18"/>
  <c r="G17" i="18" s="1"/>
  <c r="E4" i="32"/>
  <c r="G4" i="32" s="1"/>
  <c r="E5" i="32"/>
  <c r="G5" i="32" s="1"/>
  <c r="E6" i="32"/>
  <c r="G6" i="32" s="1"/>
  <c r="E7" i="32"/>
  <c r="G7" i="32" s="1"/>
  <c r="E8" i="32"/>
  <c r="E9" i="32"/>
  <c r="G9" i="32" s="1"/>
  <c r="E10" i="32"/>
  <c r="G10" i="32" s="1"/>
  <c r="E11" i="32"/>
  <c r="G11" i="32" s="1"/>
  <c r="E12" i="32"/>
  <c r="G12" i="32" s="1"/>
  <c r="E13" i="32"/>
  <c r="G13" i="32" s="1"/>
  <c r="E14" i="32"/>
  <c r="G14" i="32" s="1"/>
  <c r="E15" i="32"/>
  <c r="G15" i="32" s="1"/>
  <c r="E16" i="32"/>
  <c r="G16" i="32" s="1"/>
  <c r="E17" i="32"/>
  <c r="G17" i="32" s="1"/>
  <c r="E4" i="17"/>
  <c r="G4" i="17" s="1"/>
  <c r="E5" i="17"/>
  <c r="G5" i="17" s="1"/>
  <c r="E6" i="17"/>
  <c r="G6" i="17" s="1"/>
  <c r="E7" i="17"/>
  <c r="G7" i="17" s="1"/>
  <c r="E8" i="17"/>
  <c r="E9" i="17"/>
  <c r="G9" i="17" s="1"/>
  <c r="E10" i="17"/>
  <c r="E11" i="17"/>
  <c r="G11" i="17" s="1"/>
  <c r="E12" i="17"/>
  <c r="G12" i="17" s="1"/>
  <c r="E13" i="17"/>
  <c r="G13" i="17" s="1"/>
  <c r="E14" i="17"/>
  <c r="G14" i="17" s="1"/>
  <c r="E15" i="17"/>
  <c r="G15" i="17" s="1"/>
  <c r="E16" i="17"/>
  <c r="G16" i="17" s="1"/>
  <c r="E17" i="17"/>
  <c r="G17" i="17" s="1"/>
  <c r="E4" i="15"/>
  <c r="G4" i="15" s="1"/>
  <c r="E5" i="15"/>
  <c r="G5" i="15" s="1"/>
  <c r="E6" i="15"/>
  <c r="G6" i="15" s="1"/>
  <c r="E7" i="15"/>
  <c r="G7" i="15" s="1"/>
  <c r="E8" i="15"/>
  <c r="E9" i="15"/>
  <c r="G9" i="15" s="1"/>
  <c r="E10" i="15"/>
  <c r="G10" i="15" s="1"/>
  <c r="E11" i="15"/>
  <c r="G11" i="15" s="1"/>
  <c r="E12" i="15"/>
  <c r="G12" i="15" s="1"/>
  <c r="E13" i="15"/>
  <c r="G13" i="15" s="1"/>
  <c r="E14" i="15"/>
  <c r="G14" i="15" s="1"/>
  <c r="E15" i="15"/>
  <c r="G15" i="15" s="1"/>
  <c r="E16" i="15"/>
  <c r="G16" i="15" s="1"/>
  <c r="E17" i="15"/>
  <c r="G17" i="15" s="1"/>
  <c r="E4" i="14"/>
  <c r="G4" i="14" s="1"/>
  <c r="E5" i="14"/>
  <c r="G5" i="14" s="1"/>
  <c r="E6" i="14"/>
  <c r="G6" i="14" s="1"/>
  <c r="E7" i="14"/>
  <c r="G7" i="14" s="1"/>
  <c r="E8" i="14"/>
  <c r="E9" i="14"/>
  <c r="G9" i="14" s="1"/>
  <c r="E10" i="14"/>
  <c r="E11" i="14"/>
  <c r="G11" i="14" s="1"/>
  <c r="E12" i="14"/>
  <c r="G12" i="14" s="1"/>
  <c r="E13" i="14"/>
  <c r="G13" i="14" s="1"/>
  <c r="E14" i="14"/>
  <c r="G14" i="14" s="1"/>
  <c r="E15" i="14"/>
  <c r="G15" i="14" s="1"/>
  <c r="E16" i="14"/>
  <c r="G16" i="14" s="1"/>
  <c r="E17" i="14"/>
  <c r="G17" i="14" s="1"/>
  <c r="E4" i="13"/>
  <c r="G4" i="13" s="1"/>
  <c r="E5" i="13"/>
  <c r="G5" i="13" s="1"/>
  <c r="E6" i="13"/>
  <c r="G6" i="13" s="1"/>
  <c r="E7" i="13"/>
  <c r="G7" i="13" s="1"/>
  <c r="E8" i="13"/>
  <c r="E9" i="13"/>
  <c r="G9" i="13" s="1"/>
  <c r="E10" i="13"/>
  <c r="G10" i="13" s="1"/>
  <c r="E11" i="13"/>
  <c r="G11" i="13" s="1"/>
  <c r="E12" i="13"/>
  <c r="G12" i="13" s="1"/>
  <c r="E13" i="13"/>
  <c r="G13" i="13" s="1"/>
  <c r="E14" i="13"/>
  <c r="G14" i="13" s="1"/>
  <c r="E15" i="13"/>
  <c r="G15" i="13" s="1"/>
  <c r="E16" i="13"/>
  <c r="G16" i="13" s="1"/>
  <c r="E17" i="13"/>
  <c r="G17" i="13" s="1"/>
  <c r="E4" i="12"/>
  <c r="G4" i="12" s="1"/>
  <c r="E5" i="12"/>
  <c r="G5" i="12" s="1"/>
  <c r="E6" i="12"/>
  <c r="G6" i="12" s="1"/>
  <c r="E7" i="12"/>
  <c r="G7" i="12" s="1"/>
  <c r="E8" i="12"/>
  <c r="E9" i="12"/>
  <c r="G9" i="12" s="1"/>
  <c r="E10" i="12"/>
  <c r="E11" i="12"/>
  <c r="G11" i="12" s="1"/>
  <c r="E12" i="12"/>
  <c r="G12" i="12" s="1"/>
  <c r="E13" i="12"/>
  <c r="G13" i="12" s="1"/>
  <c r="E14" i="12"/>
  <c r="G14" i="12" s="1"/>
  <c r="E15" i="12"/>
  <c r="G15" i="12" s="1"/>
  <c r="E16" i="12"/>
  <c r="G16" i="12" s="1"/>
  <c r="E17" i="12"/>
  <c r="G17" i="12" s="1"/>
  <c r="E4" i="11"/>
  <c r="G4" i="11" s="1"/>
  <c r="E5" i="11"/>
  <c r="G5" i="11" s="1"/>
  <c r="E6" i="11"/>
  <c r="G6" i="11" s="1"/>
  <c r="E7" i="11"/>
  <c r="G7" i="11" s="1"/>
  <c r="E8" i="11"/>
  <c r="E9" i="11"/>
  <c r="G9" i="11" s="1"/>
  <c r="E10" i="11"/>
  <c r="G10" i="11" s="1"/>
  <c r="E11" i="11"/>
  <c r="G11" i="11" s="1"/>
  <c r="E12" i="11"/>
  <c r="G12" i="11" s="1"/>
  <c r="E13" i="11"/>
  <c r="G13" i="11" s="1"/>
  <c r="E14" i="11"/>
  <c r="G14" i="11" s="1"/>
  <c r="E15" i="11"/>
  <c r="G15" i="11" s="1"/>
  <c r="E16" i="11"/>
  <c r="G16" i="11" s="1"/>
  <c r="E17" i="11"/>
  <c r="G17" i="11" s="1"/>
  <c r="E4" i="10"/>
  <c r="G4" i="10" s="1"/>
  <c r="E5" i="10"/>
  <c r="G5" i="10" s="1"/>
  <c r="E6" i="10"/>
  <c r="G6" i="10" s="1"/>
  <c r="E7" i="10"/>
  <c r="G7" i="10" s="1"/>
  <c r="E8" i="10"/>
  <c r="E9" i="10"/>
  <c r="G9" i="10" s="1"/>
  <c r="E10" i="10"/>
  <c r="E11" i="10"/>
  <c r="G11" i="10" s="1"/>
  <c r="E12" i="10"/>
  <c r="G12" i="10" s="1"/>
  <c r="E13" i="10"/>
  <c r="G13" i="10" s="1"/>
  <c r="E14" i="10"/>
  <c r="G14" i="10" s="1"/>
  <c r="E15" i="10"/>
  <c r="G15" i="10" s="1"/>
  <c r="E16" i="10"/>
  <c r="G16" i="10" s="1"/>
  <c r="E17" i="10"/>
  <c r="G17" i="10" s="1"/>
  <c r="E4" i="7"/>
  <c r="G4" i="7" s="1"/>
  <c r="E5" i="7"/>
  <c r="G5" i="7" s="1"/>
  <c r="E6" i="7"/>
  <c r="G6" i="7" s="1"/>
  <c r="E7" i="7"/>
  <c r="G7" i="7" s="1"/>
  <c r="E8" i="7"/>
  <c r="E9" i="7"/>
  <c r="G9" i="7" s="1"/>
  <c r="E10" i="7"/>
  <c r="G10" i="7" s="1"/>
  <c r="E11" i="7"/>
  <c r="G11" i="7" s="1"/>
  <c r="E12" i="7"/>
  <c r="G12" i="7" s="1"/>
  <c r="E13" i="7"/>
  <c r="G13" i="7" s="1"/>
  <c r="E14" i="7"/>
  <c r="G14" i="7" s="1"/>
  <c r="E15" i="7"/>
  <c r="G15" i="7" s="1"/>
  <c r="E16" i="7"/>
  <c r="G16" i="7" s="1"/>
  <c r="E17" i="7"/>
  <c r="G17" i="7" s="1"/>
  <c r="G17" i="1"/>
  <c r="F19" i="3" l="1"/>
  <c r="I30" i="2"/>
  <c r="I30" i="4" s="1"/>
  <c r="I30" i="5" s="1"/>
  <c r="I30" i="8" s="1"/>
  <c r="I30" i="9" s="1"/>
  <c r="I30" i="6" s="1"/>
  <c r="I30" i="16" s="1"/>
  <c r="I30" i="31" s="1"/>
  <c r="I30" i="30" s="1"/>
  <c r="I30" i="29" s="1"/>
  <c r="I30" i="28" s="1"/>
  <c r="I30" i="27" s="1"/>
  <c r="I30" i="26" s="1"/>
  <c r="I30" i="25" s="1"/>
  <c r="I30" i="24" s="1"/>
  <c r="I30" i="23" s="1"/>
  <c r="I30" i="22" s="1"/>
  <c r="I30" i="21" s="1"/>
  <c r="D23" i="20" s="1"/>
  <c r="I30" i="20" s="1"/>
  <c r="G19" i="3"/>
  <c r="I30" i="7"/>
  <c r="G3" i="10"/>
  <c r="G3" i="7"/>
  <c r="G3" i="32"/>
  <c r="Y2" i="37" s="1"/>
  <c r="G3" i="21"/>
  <c r="U2" i="37" s="1"/>
  <c r="G3" i="25"/>
  <c r="G3" i="6"/>
  <c r="I2" i="37" s="1"/>
  <c r="G3" i="4"/>
  <c r="I18" i="3"/>
  <c r="E18" i="7"/>
  <c r="E23" i="7" s="1"/>
  <c r="E18" i="15"/>
  <c r="E23" i="15" s="1"/>
  <c r="E18" i="32"/>
  <c r="E23" i="32" s="1"/>
  <c r="E18" i="19"/>
  <c r="E23" i="19" s="1"/>
  <c r="E18" i="21"/>
  <c r="E23" i="21" s="1"/>
  <c r="E18" i="23"/>
  <c r="E23" i="23" s="1"/>
  <c r="E18" i="25"/>
  <c r="E23" i="25" s="1"/>
  <c r="E18" i="27"/>
  <c r="E23" i="27" s="1"/>
  <c r="E18" i="29"/>
  <c r="E23" i="29" s="1"/>
  <c r="E18" i="31"/>
  <c r="E23" i="31" s="1"/>
  <c r="E18" i="6"/>
  <c r="E23" i="6" s="1"/>
  <c r="E18" i="8"/>
  <c r="E23" i="8" s="1"/>
  <c r="E18" i="4"/>
  <c r="E23" i="4" s="1"/>
  <c r="H18" i="3"/>
  <c r="E18" i="11"/>
  <c r="E23" i="11" s="1"/>
  <c r="D18" i="3"/>
  <c r="B18" i="3"/>
  <c r="E18" i="13"/>
  <c r="E23" i="13" s="1"/>
  <c r="E18" i="1"/>
  <c r="E23" i="1" s="1"/>
  <c r="G8" i="10"/>
  <c r="AF7" i="37" s="1"/>
  <c r="E18" i="10"/>
  <c r="E23" i="10" s="1"/>
  <c r="G8" i="12"/>
  <c r="E18" i="12"/>
  <c r="E23" i="12" s="1"/>
  <c r="G8" i="14"/>
  <c r="AB7" i="37" s="1"/>
  <c r="E18" i="14"/>
  <c r="E23" i="14" s="1"/>
  <c r="G8" i="17"/>
  <c r="E18" i="17"/>
  <c r="E23" i="17" s="1"/>
  <c r="G8" i="18"/>
  <c r="X7" i="37" s="1"/>
  <c r="E18" i="18"/>
  <c r="E23" i="18" s="1"/>
  <c r="G8" i="20"/>
  <c r="E18" i="20"/>
  <c r="E23" i="20" s="1"/>
  <c r="G8" i="22"/>
  <c r="T7" i="37" s="1"/>
  <c r="E18" i="22"/>
  <c r="E23" i="22" s="1"/>
  <c r="G8" i="24"/>
  <c r="E18" i="24"/>
  <c r="E23" i="24" s="1"/>
  <c r="G8" i="26"/>
  <c r="P7" i="37" s="1"/>
  <c r="E18" i="26"/>
  <c r="E23" i="26" s="1"/>
  <c r="G8" i="28"/>
  <c r="E18" i="28"/>
  <c r="E23" i="28" s="1"/>
  <c r="G8" i="30"/>
  <c r="L7" i="37" s="1"/>
  <c r="E18" i="30"/>
  <c r="E23" i="30" s="1"/>
  <c r="G8" i="16"/>
  <c r="E18" i="16"/>
  <c r="E23" i="16" s="1"/>
  <c r="G8" i="9"/>
  <c r="H7" i="37" s="1"/>
  <c r="E18" i="9"/>
  <c r="E23" i="9" s="1"/>
  <c r="G8" i="5"/>
  <c r="E18" i="5"/>
  <c r="E23" i="5" s="1"/>
  <c r="D7" i="37"/>
  <c r="C18" i="37"/>
  <c r="AD18" i="37"/>
  <c r="Z18" i="37"/>
  <c r="V18" i="37"/>
  <c r="R18" i="37"/>
  <c r="N18" i="37"/>
  <c r="J18" i="37"/>
  <c r="F18" i="37"/>
  <c r="C18" i="3"/>
  <c r="AF16" i="37"/>
  <c r="AF12" i="37"/>
  <c r="AF3" i="37"/>
  <c r="AE14" i="37"/>
  <c r="AE10" i="37"/>
  <c r="AE5" i="37"/>
  <c r="AD16" i="37"/>
  <c r="AD12" i="37"/>
  <c r="AD7" i="37"/>
  <c r="AD3" i="37"/>
  <c r="AC14" i="37"/>
  <c r="AC10" i="37"/>
  <c r="AC5" i="37"/>
  <c r="AB16" i="37"/>
  <c r="AB12" i="37"/>
  <c r="AB3" i="37"/>
  <c r="AF18" i="37"/>
  <c r="AF13" i="37"/>
  <c r="AF4" i="37"/>
  <c r="AE15" i="37"/>
  <c r="AE11" i="37"/>
  <c r="AE6" i="37"/>
  <c r="AD13" i="37"/>
  <c r="AD4" i="37"/>
  <c r="AC15" i="37"/>
  <c r="AC11" i="37"/>
  <c r="AC6" i="37"/>
  <c r="AB18" i="37"/>
  <c r="AB13" i="37"/>
  <c r="AB4" i="37"/>
  <c r="AA15" i="37"/>
  <c r="AA11" i="37"/>
  <c r="AA6" i="37"/>
  <c r="Z13" i="37"/>
  <c r="Z4" i="37"/>
  <c r="Y15" i="37"/>
  <c r="Y11" i="37"/>
  <c r="Y6" i="37"/>
  <c r="X18" i="37"/>
  <c r="X13" i="37"/>
  <c r="X4" i="37"/>
  <c r="W15" i="37"/>
  <c r="W11" i="37"/>
  <c r="W6" i="37"/>
  <c r="V13" i="37"/>
  <c r="V4" i="37"/>
  <c r="U15" i="37"/>
  <c r="U11" i="37"/>
  <c r="U6" i="37"/>
  <c r="T18" i="37"/>
  <c r="T13" i="37"/>
  <c r="T4" i="37"/>
  <c r="S15" i="37"/>
  <c r="S11" i="37"/>
  <c r="S6" i="37"/>
  <c r="R13" i="37"/>
  <c r="R4" i="37"/>
  <c r="Q15" i="37"/>
  <c r="Q11" i="37"/>
  <c r="Q6" i="37"/>
  <c r="P18" i="37"/>
  <c r="P13" i="37"/>
  <c r="P4" i="37"/>
  <c r="O15" i="37"/>
  <c r="O11" i="37"/>
  <c r="O6" i="37"/>
  <c r="N13" i="37"/>
  <c r="N4" i="37"/>
  <c r="M15" i="37"/>
  <c r="M11" i="37"/>
  <c r="M6" i="37"/>
  <c r="L18" i="37"/>
  <c r="L13" i="37"/>
  <c r="L4" i="37"/>
  <c r="K15" i="37"/>
  <c r="K11" i="37"/>
  <c r="K6" i="37"/>
  <c r="H18" i="37"/>
  <c r="AG18" i="37"/>
  <c r="AE18" i="37"/>
  <c r="AC18" i="37"/>
  <c r="AA18" i="37"/>
  <c r="Y18" i="37"/>
  <c r="W18" i="37"/>
  <c r="U18" i="37"/>
  <c r="S18" i="37"/>
  <c r="Q18" i="37"/>
  <c r="O18" i="37"/>
  <c r="M18" i="37"/>
  <c r="K18" i="37"/>
  <c r="I18" i="37"/>
  <c r="G18" i="37"/>
  <c r="E18" i="37"/>
  <c r="D18" i="37"/>
  <c r="AA14" i="37"/>
  <c r="AA10" i="37"/>
  <c r="AA5" i="37"/>
  <c r="Z16" i="37"/>
  <c r="Z12" i="37"/>
  <c r="Z7" i="37"/>
  <c r="Z3" i="37"/>
  <c r="Y14" i="37"/>
  <c r="Y10" i="37"/>
  <c r="Y5" i="37"/>
  <c r="X16" i="37"/>
  <c r="X12" i="37"/>
  <c r="X3" i="37"/>
  <c r="W14" i="37"/>
  <c r="W10" i="37"/>
  <c r="W5" i="37"/>
  <c r="V16" i="37"/>
  <c r="V12" i="37"/>
  <c r="V7" i="37"/>
  <c r="V3" i="37"/>
  <c r="U14" i="37"/>
  <c r="U10" i="37"/>
  <c r="U5" i="37"/>
  <c r="T16" i="37"/>
  <c r="T12" i="37"/>
  <c r="T3" i="37"/>
  <c r="S14" i="37"/>
  <c r="S10" i="37"/>
  <c r="S5" i="37"/>
  <c r="R16" i="37"/>
  <c r="R12" i="37"/>
  <c r="R7" i="37"/>
  <c r="R3" i="37"/>
  <c r="Q14" i="37"/>
  <c r="Q10" i="37"/>
  <c r="Q5" i="37"/>
  <c r="P16" i="37"/>
  <c r="P12" i="37"/>
  <c r="P3" i="37"/>
  <c r="O14" i="37"/>
  <c r="O10" i="37"/>
  <c r="O5" i="37"/>
  <c r="N16" i="37"/>
  <c r="N12" i="37"/>
  <c r="N7" i="37"/>
  <c r="N3" i="37"/>
  <c r="M14" i="37"/>
  <c r="M10" i="37"/>
  <c r="M5" i="37"/>
  <c r="L16" i="37"/>
  <c r="L12" i="37"/>
  <c r="L3" i="37"/>
  <c r="K14" i="37"/>
  <c r="K10" i="37"/>
  <c r="K5" i="37"/>
  <c r="J16" i="37"/>
  <c r="J12" i="37"/>
  <c r="J7" i="37"/>
  <c r="J3" i="37"/>
  <c r="I14" i="37"/>
  <c r="I10" i="37"/>
  <c r="I5" i="37"/>
  <c r="H16" i="37"/>
  <c r="H12" i="37"/>
  <c r="H3" i="37"/>
  <c r="G14" i="37"/>
  <c r="G10" i="37"/>
  <c r="G5" i="37"/>
  <c r="F16" i="37"/>
  <c r="F12" i="37"/>
  <c r="F7" i="37"/>
  <c r="F3" i="37"/>
  <c r="E14" i="37"/>
  <c r="E10" i="37"/>
  <c r="E5" i="37"/>
  <c r="D16" i="37"/>
  <c r="D12" i="37"/>
  <c r="D3" i="37"/>
  <c r="F15" i="3"/>
  <c r="F11" i="3"/>
  <c r="G15" i="1"/>
  <c r="C14" i="37" s="1"/>
  <c r="E15" i="3"/>
  <c r="G11" i="1"/>
  <c r="G11" i="3" s="1"/>
  <c r="E11" i="3"/>
  <c r="G7" i="1"/>
  <c r="C6" i="37" s="1"/>
  <c r="E7" i="3"/>
  <c r="G14" i="1"/>
  <c r="C13" i="37" s="1"/>
  <c r="E14" i="3"/>
  <c r="G6" i="1"/>
  <c r="G6" i="3" s="1"/>
  <c r="E6" i="3"/>
  <c r="C16" i="37"/>
  <c r="G13" i="1"/>
  <c r="G13" i="3" s="1"/>
  <c r="E13" i="3"/>
  <c r="G9" i="1"/>
  <c r="G9" i="3" s="1"/>
  <c r="E9" i="3"/>
  <c r="G5" i="1"/>
  <c r="F3" i="3"/>
  <c r="Q2" i="37"/>
  <c r="AF15" i="37"/>
  <c r="AF11" i="37"/>
  <c r="AF6" i="37"/>
  <c r="AE13" i="37"/>
  <c r="AE9" i="37"/>
  <c r="AE4" i="37"/>
  <c r="AD15" i="37"/>
  <c r="AD11" i="37"/>
  <c r="AD6" i="37"/>
  <c r="AC13" i="37"/>
  <c r="AC9" i="37"/>
  <c r="AC4" i="37"/>
  <c r="AB15" i="37"/>
  <c r="AB11" i="37"/>
  <c r="AB6" i="37"/>
  <c r="G17" i="3"/>
  <c r="H23" i="1"/>
  <c r="G10" i="1"/>
  <c r="C9" i="37" s="1"/>
  <c r="E10" i="3"/>
  <c r="E17" i="3"/>
  <c r="G16" i="1"/>
  <c r="C15" i="37" s="1"/>
  <c r="E16" i="3"/>
  <c r="G12" i="1"/>
  <c r="C11" i="37" s="1"/>
  <c r="E12" i="3"/>
  <c r="E8" i="3"/>
  <c r="G4" i="1"/>
  <c r="G4" i="3" s="1"/>
  <c r="E4" i="3"/>
  <c r="AF2" i="37"/>
  <c r="AF14" i="37"/>
  <c r="AF10" i="37"/>
  <c r="AF5" i="37"/>
  <c r="AE16" i="37"/>
  <c r="AE12" i="37"/>
  <c r="AE3" i="37"/>
  <c r="AD14" i="37"/>
  <c r="AD10" i="37"/>
  <c r="AD5" i="37"/>
  <c r="AC16" i="37"/>
  <c r="AC12" i="37"/>
  <c r="AC3" i="37"/>
  <c r="AB14" i="37"/>
  <c r="AB10" i="37"/>
  <c r="AB5" i="37"/>
  <c r="J13" i="37"/>
  <c r="J4" i="37"/>
  <c r="I15" i="37"/>
  <c r="I11" i="37"/>
  <c r="I6" i="37"/>
  <c r="H13" i="37"/>
  <c r="H4" i="37"/>
  <c r="G15" i="37"/>
  <c r="G11" i="37"/>
  <c r="G6" i="37"/>
  <c r="F13" i="37"/>
  <c r="F4" i="37"/>
  <c r="E15" i="37"/>
  <c r="E11" i="37"/>
  <c r="E6" i="37"/>
  <c r="D13" i="37"/>
  <c r="AA13" i="37"/>
  <c r="AA9" i="37"/>
  <c r="AA4" i="37"/>
  <c r="Z15" i="37"/>
  <c r="Z11" i="37"/>
  <c r="Z6" i="37"/>
  <c r="Y13" i="37"/>
  <c r="Y9" i="37"/>
  <c r="Y4" i="37"/>
  <c r="X15" i="37"/>
  <c r="X11" i="37"/>
  <c r="X6" i="37"/>
  <c r="W13" i="37"/>
  <c r="W9" i="37"/>
  <c r="W4" i="37"/>
  <c r="V15" i="37"/>
  <c r="V11" i="37"/>
  <c r="V6" i="37"/>
  <c r="U13" i="37"/>
  <c r="U9" i="37"/>
  <c r="U4" i="37"/>
  <c r="T15" i="37"/>
  <c r="T11" i="37"/>
  <c r="T6" i="37"/>
  <c r="S13" i="37"/>
  <c r="S9" i="37"/>
  <c r="S4" i="37"/>
  <c r="R15" i="37"/>
  <c r="R11" i="37"/>
  <c r="R6" i="37"/>
  <c r="Q13" i="37"/>
  <c r="Q9" i="37"/>
  <c r="Q4" i="37"/>
  <c r="P15" i="37"/>
  <c r="P11" i="37"/>
  <c r="P6" i="37"/>
  <c r="O13" i="37"/>
  <c r="O9" i="37"/>
  <c r="O4" i="37"/>
  <c r="N15" i="37"/>
  <c r="N11" i="37"/>
  <c r="N6" i="37"/>
  <c r="M13" i="37"/>
  <c r="M9" i="37"/>
  <c r="M4" i="37"/>
  <c r="L15" i="37"/>
  <c r="L11" i="37"/>
  <c r="L6" i="37"/>
  <c r="K13" i="37"/>
  <c r="K9" i="37"/>
  <c r="K4" i="37"/>
  <c r="J15" i="37"/>
  <c r="J11" i="37"/>
  <c r="J6" i="37"/>
  <c r="I13" i="37"/>
  <c r="I9" i="37"/>
  <c r="I4" i="37"/>
  <c r="H15" i="37"/>
  <c r="H11" i="37"/>
  <c r="H6" i="37"/>
  <c r="G13" i="37"/>
  <c r="G9" i="37"/>
  <c r="G4" i="37"/>
  <c r="F15" i="37"/>
  <c r="F11" i="37"/>
  <c r="F6" i="37"/>
  <c r="E13" i="37"/>
  <c r="E9" i="37"/>
  <c r="E4" i="37"/>
  <c r="D15" i="37"/>
  <c r="D11" i="37"/>
  <c r="D6" i="37"/>
  <c r="AA16" i="37"/>
  <c r="AA12" i="37"/>
  <c r="AA3" i="37"/>
  <c r="Z14" i="37"/>
  <c r="Z10" i="37"/>
  <c r="Z5" i="37"/>
  <c r="Y16" i="37"/>
  <c r="Y12" i="37"/>
  <c r="Y3" i="37"/>
  <c r="X14" i="37"/>
  <c r="X10" i="37"/>
  <c r="X5" i="37"/>
  <c r="W16" i="37"/>
  <c r="W12" i="37"/>
  <c r="W3" i="37"/>
  <c r="V14" i="37"/>
  <c r="V10" i="37"/>
  <c r="V5" i="37"/>
  <c r="U16" i="37"/>
  <c r="U12" i="37"/>
  <c r="U3" i="37"/>
  <c r="T14" i="37"/>
  <c r="T10" i="37"/>
  <c r="T5" i="37"/>
  <c r="S16" i="37"/>
  <c r="S12" i="37"/>
  <c r="S3" i="37"/>
  <c r="R14" i="37"/>
  <c r="R10" i="37"/>
  <c r="R5" i="37"/>
  <c r="Q16" i="37"/>
  <c r="Q12" i="37"/>
  <c r="Q3" i="37"/>
  <c r="P14" i="37"/>
  <c r="P10" i="37"/>
  <c r="P5" i="37"/>
  <c r="O16" i="37"/>
  <c r="O12" i="37"/>
  <c r="O3" i="37"/>
  <c r="N14" i="37"/>
  <c r="N10" i="37"/>
  <c r="N5" i="37"/>
  <c r="M16" i="37"/>
  <c r="M12" i="37"/>
  <c r="M3" i="37"/>
  <c r="L14" i="37"/>
  <c r="L10" i="37"/>
  <c r="L5" i="37"/>
  <c r="K16" i="37"/>
  <c r="K12" i="37"/>
  <c r="K3" i="37"/>
  <c r="J14" i="37"/>
  <c r="J10" i="37"/>
  <c r="J5" i="37"/>
  <c r="I16" i="37"/>
  <c r="I12" i="37"/>
  <c r="I3" i="37"/>
  <c r="H14" i="37"/>
  <c r="H10" i="37"/>
  <c r="H5" i="37"/>
  <c r="G16" i="37"/>
  <c r="G12" i="37"/>
  <c r="G3" i="37"/>
  <c r="F14" i="37"/>
  <c r="F10" i="37"/>
  <c r="F5" i="37"/>
  <c r="E16" i="37"/>
  <c r="E12" i="37"/>
  <c r="E3" i="37"/>
  <c r="D14" i="37"/>
  <c r="D10" i="37"/>
  <c r="D5" i="37"/>
  <c r="F17" i="3"/>
  <c r="F13" i="3"/>
  <c r="F8" i="3"/>
  <c r="F16" i="3"/>
  <c r="AG15" i="37"/>
  <c r="AG11" i="37"/>
  <c r="AG6" i="37"/>
  <c r="AG3" i="37"/>
  <c r="F12" i="3"/>
  <c r="F4" i="3"/>
  <c r="F7" i="3"/>
  <c r="AG16" i="37"/>
  <c r="AG12" i="37"/>
  <c r="AG14" i="37"/>
  <c r="AG10" i="37"/>
  <c r="AG5" i="37"/>
  <c r="AG13" i="37"/>
  <c r="AG9" i="37"/>
  <c r="AG4" i="37"/>
  <c r="F10" i="3"/>
  <c r="F6" i="3"/>
  <c r="F5" i="3"/>
  <c r="F14" i="3"/>
  <c r="E3" i="3"/>
  <c r="AG2" i="37"/>
  <c r="G8" i="11"/>
  <c r="G18" i="11" s="1"/>
  <c r="G8" i="19"/>
  <c r="G18" i="19" s="1"/>
  <c r="G8" i="27"/>
  <c r="G18" i="27" s="1"/>
  <c r="G10" i="28"/>
  <c r="N9" i="37" s="1"/>
  <c r="G10" i="16"/>
  <c r="G3" i="14"/>
  <c r="G3" i="18"/>
  <c r="G3" i="22"/>
  <c r="G3" i="26"/>
  <c r="G3" i="30"/>
  <c r="G3" i="9"/>
  <c r="G8" i="1"/>
  <c r="G10" i="12"/>
  <c r="G8" i="13"/>
  <c r="G18" i="13" s="1"/>
  <c r="G10" i="18"/>
  <c r="G10" i="26"/>
  <c r="P9" i="37" s="1"/>
  <c r="G10" i="30"/>
  <c r="G10" i="5"/>
  <c r="G8" i="4"/>
  <c r="G10" i="14"/>
  <c r="G8" i="15"/>
  <c r="G18" i="15" s="1"/>
  <c r="G10" i="17"/>
  <c r="G8" i="21"/>
  <c r="G10" i="22"/>
  <c r="G8" i="23"/>
  <c r="G18" i="23" s="1"/>
  <c r="G10" i="24"/>
  <c r="G8" i="29"/>
  <c r="G18" i="29" s="1"/>
  <c r="G8" i="6"/>
  <c r="G10" i="9"/>
  <c r="G8" i="8"/>
  <c r="G18" i="8" s="1"/>
  <c r="G8" i="7"/>
  <c r="G18" i="7" s="1"/>
  <c r="G10" i="10"/>
  <c r="G8" i="32"/>
  <c r="G10" i="20"/>
  <c r="G8" i="25"/>
  <c r="G8" i="31"/>
  <c r="G18" i="31" s="1"/>
  <c r="G3" i="13"/>
  <c r="G23" i="13" s="1"/>
  <c r="G3" i="29"/>
  <c r="G3" i="12"/>
  <c r="G3" i="17"/>
  <c r="G3" i="20"/>
  <c r="G3" i="24"/>
  <c r="G3" i="28"/>
  <c r="G3" i="16"/>
  <c r="G3" i="5"/>
  <c r="G3" i="1"/>
  <c r="G3" i="11"/>
  <c r="G23" i="11" s="1"/>
  <c r="G3" i="15"/>
  <c r="G3" i="19"/>
  <c r="G3" i="23"/>
  <c r="G3" i="27"/>
  <c r="G3" i="31"/>
  <c r="G3" i="8"/>
  <c r="C52" i="38"/>
  <c r="D52" i="38" s="1"/>
  <c r="C53" i="38"/>
  <c r="D53" i="38" s="1"/>
  <c r="BI53" i="38" s="1"/>
  <c r="C54" i="38"/>
  <c r="D54" i="38" s="1"/>
  <c r="BI54" i="38" s="1"/>
  <c r="C55" i="38"/>
  <c r="D55" i="38" s="1"/>
  <c r="BI55" i="38" s="1"/>
  <c r="C56" i="38"/>
  <c r="D56" i="38" s="1"/>
  <c r="BI56" i="38" s="1"/>
  <c r="C57" i="38"/>
  <c r="D57" i="38" s="1"/>
  <c r="BI57" i="38" s="1"/>
  <c r="C58" i="38"/>
  <c r="D58" i="38" s="1"/>
  <c r="BI58" i="38" s="1"/>
  <c r="D67" i="38"/>
  <c r="C67" i="38"/>
  <c r="C65" i="38"/>
  <c r="D65" i="38" s="1"/>
  <c r="AY65" i="38" s="1"/>
  <c r="C64" i="38"/>
  <c r="D64" i="38" s="1"/>
  <c r="AK64" i="38" s="1"/>
  <c r="C62" i="38"/>
  <c r="D62" i="38" s="1"/>
  <c r="AW62" i="38" s="1"/>
  <c r="C60" i="38"/>
  <c r="D60" i="38" s="1"/>
  <c r="AM60" i="38" s="1"/>
  <c r="C59" i="38"/>
  <c r="D59" i="38" s="1"/>
  <c r="AK59" i="38" s="1"/>
  <c r="C50" i="38"/>
  <c r="D50" i="38" s="1"/>
  <c r="AO50" i="38" s="1"/>
  <c r="C49" i="38"/>
  <c r="D49" i="38" s="1"/>
  <c r="AE49" i="38" s="1"/>
  <c r="C47" i="38"/>
  <c r="D47" i="38" s="1"/>
  <c r="I47" i="38" s="1"/>
  <c r="C46" i="38"/>
  <c r="D46" i="38" s="1"/>
  <c r="C45" i="38"/>
  <c r="D45" i="38" s="1"/>
  <c r="BE45" i="38" s="1"/>
  <c r="C44" i="38"/>
  <c r="D44" i="38" s="1"/>
  <c r="AY44" i="38" s="1"/>
  <c r="C43" i="38"/>
  <c r="D43" i="38" s="1"/>
  <c r="BI43" i="38" s="1"/>
  <c r="C42" i="38"/>
  <c r="D42" i="38" s="1"/>
  <c r="AM42" i="38" s="1"/>
  <c r="C41" i="38"/>
  <c r="D41" i="38" s="1"/>
  <c r="AO41" i="38" s="1"/>
  <c r="C40" i="38"/>
  <c r="D40" i="38" s="1"/>
  <c r="AU40" i="38" s="1"/>
  <c r="C39" i="38"/>
  <c r="D39" i="38" s="1"/>
  <c r="BI39" i="38" s="1"/>
  <c r="C38" i="38"/>
  <c r="D38" i="38" s="1"/>
  <c r="BK38" i="38" s="1"/>
  <c r="C37" i="38"/>
  <c r="D37" i="38" s="1"/>
  <c r="AS37" i="38" s="1"/>
  <c r="C36" i="38"/>
  <c r="D36" i="38" s="1"/>
  <c r="AC36" i="38" s="1"/>
  <c r="C35" i="38"/>
  <c r="D35" i="38" s="1"/>
  <c r="AW35" i="38" s="1"/>
  <c r="C34" i="38"/>
  <c r="D34" i="38" s="1"/>
  <c r="AE34" i="38" s="1"/>
  <c r="C33" i="38"/>
  <c r="D33" i="38" s="1"/>
  <c r="BG33" i="38" s="1"/>
  <c r="C32" i="38"/>
  <c r="D32" i="38" s="1"/>
  <c r="BO32" i="38" s="1"/>
  <c r="C31" i="38"/>
  <c r="D31" i="38" s="1"/>
  <c r="BE31" i="38" s="1"/>
  <c r="C30" i="38"/>
  <c r="D30" i="38" s="1"/>
  <c r="C29" i="38"/>
  <c r="D29" i="38" s="1"/>
  <c r="G29" i="38" s="1"/>
  <c r="C28" i="38"/>
  <c r="D28" i="38" s="1"/>
  <c r="BG28" i="38" s="1"/>
  <c r="C27" i="38"/>
  <c r="D27" i="38" s="1"/>
  <c r="AA27" i="38" s="1"/>
  <c r="C26" i="38"/>
  <c r="D26" i="38" s="1"/>
  <c r="BE26" i="38" s="1"/>
  <c r="C25" i="38"/>
  <c r="D25" i="38" s="1"/>
  <c r="AS25" i="38" s="1"/>
  <c r="C24" i="38"/>
  <c r="D24" i="38" s="1"/>
  <c r="BC24" i="38" s="1"/>
  <c r="C23" i="38"/>
  <c r="D23" i="38" s="1"/>
  <c r="BE23" i="38" s="1"/>
  <c r="C22" i="38"/>
  <c r="D22" i="38" s="1"/>
  <c r="BI22" i="38" s="1"/>
  <c r="C21" i="38"/>
  <c r="D21" i="38" s="1"/>
  <c r="BE21" i="38" s="1"/>
  <c r="C20" i="38"/>
  <c r="D20" i="38" s="1"/>
  <c r="AY20" i="38" s="1"/>
  <c r="C19" i="38"/>
  <c r="D19" i="38" s="1"/>
  <c r="AM19" i="38" s="1"/>
  <c r="C18" i="38"/>
  <c r="D18" i="38" s="1"/>
  <c r="BE18" i="38" s="1"/>
  <c r="C17" i="38"/>
  <c r="D17" i="38" s="1"/>
  <c r="AO17" i="38" s="1"/>
  <c r="C16" i="38"/>
  <c r="D16" i="38" s="1"/>
  <c r="BO16" i="38" s="1"/>
  <c r="C15" i="38"/>
  <c r="D15" i="38" s="1"/>
  <c r="BM15" i="38" s="1"/>
  <c r="C14" i="38"/>
  <c r="D14" i="38" s="1"/>
  <c r="BO14" i="38" s="1"/>
  <c r="C13" i="38"/>
  <c r="D13" i="38" s="1"/>
  <c r="AG13" i="38" s="1"/>
  <c r="C11" i="38"/>
  <c r="D11" i="38" s="1"/>
  <c r="BK11" i="38" s="1"/>
  <c r="C10" i="38"/>
  <c r="D10" i="38" s="1"/>
  <c r="BI10" i="38" s="1"/>
  <c r="C9" i="38"/>
  <c r="D9" i="38" s="1"/>
  <c r="AM9" i="38" s="1"/>
  <c r="C8" i="38"/>
  <c r="D8" i="38" s="1"/>
  <c r="BI8" i="38" s="1"/>
  <c r="C12" i="38"/>
  <c r="D12" i="38" s="1"/>
  <c r="BE12" i="38" s="1"/>
  <c r="C48" i="38"/>
  <c r="D48" i="38" s="1"/>
  <c r="G48" i="38" s="1"/>
  <c r="C51" i="38"/>
  <c r="D51" i="38" s="1"/>
  <c r="BM51" i="38" s="1"/>
  <c r="C61" i="38"/>
  <c r="D61" i="38" s="1"/>
  <c r="G61" i="38" s="1"/>
  <c r="C63" i="38"/>
  <c r="D63" i="38" s="1"/>
  <c r="G63" i="38" s="1"/>
  <c r="C66" i="38"/>
  <c r="D66" i="38" s="1"/>
  <c r="G66" i="38" s="1"/>
  <c r="C7" i="38"/>
  <c r="D7" i="38" s="1"/>
  <c r="AE7" i="38" s="1"/>
  <c r="C6" i="38"/>
  <c r="D6" i="38" s="1"/>
  <c r="AW6" i="38" s="1"/>
  <c r="C5" i="38"/>
  <c r="D5" i="38" s="1"/>
  <c r="BK5" i="38" s="1"/>
  <c r="C4" i="38"/>
  <c r="D4" i="38" s="1"/>
  <c r="AS4" i="38" s="1"/>
  <c r="C3" i="38"/>
  <c r="D3" i="38" s="1"/>
  <c r="I3" i="38" s="1"/>
  <c r="C5" i="37" l="1"/>
  <c r="F17" i="34"/>
  <c r="G14" i="3"/>
  <c r="F14" i="34" s="1"/>
  <c r="G15" i="3"/>
  <c r="F15" i="34" s="1"/>
  <c r="C12" i="37"/>
  <c r="C10" i="37"/>
  <c r="C4" i="37"/>
  <c r="G23" i="7"/>
  <c r="S2" i="37"/>
  <c r="G23" i="23"/>
  <c r="R2" i="37"/>
  <c r="T2" i="37"/>
  <c r="W2" i="37"/>
  <c r="G23" i="19"/>
  <c r="F2" i="37"/>
  <c r="V2" i="37"/>
  <c r="H2" i="37"/>
  <c r="X2" i="37"/>
  <c r="G23" i="27"/>
  <c r="N2" i="37"/>
  <c r="AD2" i="37"/>
  <c r="G18" i="1"/>
  <c r="G23" i="1" s="1"/>
  <c r="P2" i="37"/>
  <c r="E2" i="37"/>
  <c r="M2" i="37"/>
  <c r="G23" i="29"/>
  <c r="C23" i="3"/>
  <c r="D2" i="37"/>
  <c r="F11" i="34"/>
  <c r="G23" i="8"/>
  <c r="K2" i="37"/>
  <c r="G23" i="31"/>
  <c r="AA2" i="37"/>
  <c r="G23" i="15"/>
  <c r="J2" i="37"/>
  <c r="Z2" i="37"/>
  <c r="L2" i="37"/>
  <c r="AB2" i="37"/>
  <c r="G18" i="32"/>
  <c r="G23" i="32" s="1"/>
  <c r="G18" i="21"/>
  <c r="G23" i="21" s="1"/>
  <c r="G18" i="5"/>
  <c r="G23" i="5" s="1"/>
  <c r="G18" i="16"/>
  <c r="G23" i="16" s="1"/>
  <c r="G18" i="28"/>
  <c r="G23" i="28" s="1"/>
  <c r="G18" i="24"/>
  <c r="G23" i="24" s="1"/>
  <c r="G18" i="20"/>
  <c r="G23" i="20" s="1"/>
  <c r="G18" i="17"/>
  <c r="G23" i="17" s="1"/>
  <c r="G18" i="12"/>
  <c r="G23" i="12" s="1"/>
  <c r="G18" i="25"/>
  <c r="G23" i="25" s="1"/>
  <c r="G18" i="6"/>
  <c r="G23" i="6" s="1"/>
  <c r="G18" i="4"/>
  <c r="G23" i="4" s="1"/>
  <c r="E18" i="3"/>
  <c r="G18" i="9"/>
  <c r="G23" i="9" s="1"/>
  <c r="G18" i="30"/>
  <c r="G23" i="30" s="1"/>
  <c r="G18" i="26"/>
  <c r="G23" i="26" s="1"/>
  <c r="G18" i="22"/>
  <c r="G23" i="22" s="1"/>
  <c r="G18" i="18"/>
  <c r="G23" i="18" s="1"/>
  <c r="G18" i="14"/>
  <c r="G23" i="14" s="1"/>
  <c r="G18" i="10"/>
  <c r="G23" i="10" s="1"/>
  <c r="O7" i="37"/>
  <c r="AE7" i="37"/>
  <c r="G12" i="3"/>
  <c r="J9" i="37"/>
  <c r="BO21" i="38"/>
  <c r="BG59" i="38"/>
  <c r="BA9" i="38"/>
  <c r="BE34" i="38"/>
  <c r="G21" i="38"/>
  <c r="BK64" i="38"/>
  <c r="BC42" i="38"/>
  <c r="AU18" i="38"/>
  <c r="BM59" i="38"/>
  <c r="AW59" i="38"/>
  <c r="BK34" i="38"/>
  <c r="BA13" i="38"/>
  <c r="AK9" i="38"/>
  <c r="F4" i="34"/>
  <c r="G7" i="37"/>
  <c r="W7" i="37"/>
  <c r="F9" i="37"/>
  <c r="AC7" i="37"/>
  <c r="G10" i="3"/>
  <c r="R9" i="37"/>
  <c r="AC2" i="37"/>
  <c r="C2" i="37"/>
  <c r="G16" i="3"/>
  <c r="F16" i="34" s="1"/>
  <c r="Z9" i="37"/>
  <c r="F13" i="34"/>
  <c r="E7" i="37"/>
  <c r="M7" i="37"/>
  <c r="U7" i="37"/>
  <c r="AE2" i="37"/>
  <c r="AD9" i="37"/>
  <c r="X9" i="37"/>
  <c r="F6" i="34"/>
  <c r="K7" i="37"/>
  <c r="S7" i="37"/>
  <c r="AA7" i="37"/>
  <c r="D9" i="37"/>
  <c r="H9" i="37"/>
  <c r="L9" i="37"/>
  <c r="AB9" i="37"/>
  <c r="G2" i="37"/>
  <c r="G7" i="3"/>
  <c r="F7" i="34" s="1"/>
  <c r="T9" i="37"/>
  <c r="G3" i="3"/>
  <c r="I7" i="37"/>
  <c r="Q7" i="37"/>
  <c r="Y7" i="37"/>
  <c r="C3" i="37"/>
  <c r="AF9" i="37"/>
  <c r="O2" i="37"/>
  <c r="C7" i="37"/>
  <c r="V9" i="37"/>
  <c r="G8" i="3"/>
  <c r="AG7" i="37"/>
  <c r="BM19" i="38"/>
  <c r="AK19" i="38"/>
  <c r="BO19" i="38"/>
  <c r="BM47" i="38"/>
  <c r="BK10" i="38"/>
  <c r="AS27" i="38"/>
  <c r="BO43" i="38"/>
  <c r="BM64" i="38"/>
  <c r="BM25" i="38"/>
  <c r="BK35" i="38"/>
  <c r="BK8" i="38"/>
  <c r="BG9" i="38"/>
  <c r="BA59" i="38"/>
  <c r="AY9" i="38"/>
  <c r="AU26" i="38"/>
  <c r="AK21" i="38"/>
  <c r="AA10" i="38"/>
  <c r="BG43" i="38"/>
  <c r="AW43" i="38"/>
  <c r="BO45" i="38"/>
  <c r="BM26" i="38"/>
  <c r="BK60" i="38"/>
  <c r="BK9" i="38"/>
  <c r="BG18" i="38"/>
  <c r="BC7" i="38"/>
  <c r="AY60" i="38"/>
  <c r="AU49" i="38"/>
  <c r="AQ10" i="38"/>
  <c r="AC9" i="38"/>
  <c r="BE13" i="38"/>
  <c r="G25" i="38"/>
  <c r="BO49" i="38"/>
  <c r="BO27" i="38"/>
  <c r="BO5" i="38"/>
  <c r="BM27" i="38"/>
  <c r="BM7" i="38"/>
  <c r="BK37" i="38"/>
  <c r="BK18" i="38"/>
  <c r="BG60" i="38"/>
  <c r="BG26" i="38"/>
  <c r="BE37" i="38"/>
  <c r="BC9" i="38"/>
  <c r="BA19" i="38"/>
  <c r="AY11" i="38"/>
  <c r="AW10" i="38"/>
  <c r="AS35" i="38"/>
  <c r="AQ13" i="38"/>
  <c r="AK35" i="38"/>
  <c r="AC42" i="38"/>
  <c r="G13" i="38"/>
  <c r="BK62" i="38"/>
  <c r="AS13" i="38"/>
  <c r="AQ64" i="38"/>
  <c r="G64" i="38"/>
  <c r="BO64" i="38"/>
  <c r="BO37" i="38"/>
  <c r="BO13" i="38"/>
  <c r="BM43" i="38"/>
  <c r="BM18" i="38"/>
  <c r="BK59" i="38"/>
  <c r="BK27" i="38"/>
  <c r="BI64" i="38"/>
  <c r="BG42" i="38"/>
  <c r="BE62" i="38"/>
  <c r="BC34" i="38"/>
  <c r="BA43" i="38"/>
  <c r="AY42" i="38"/>
  <c r="AW39" i="38"/>
  <c r="AU7" i="38"/>
  <c r="AQ45" i="38"/>
  <c r="AO21" i="38"/>
  <c r="AI44" i="38"/>
  <c r="BG11" i="38"/>
  <c r="AO64" i="38"/>
  <c r="G45" i="38"/>
  <c r="BO62" i="38"/>
  <c r="BO36" i="38"/>
  <c r="BO11" i="38"/>
  <c r="BM42" i="38"/>
  <c r="BK44" i="38"/>
  <c r="BK26" i="38"/>
  <c r="BI60" i="38"/>
  <c r="BG36" i="38"/>
  <c r="BE60" i="38"/>
  <c r="BC32" i="38"/>
  <c r="BA37" i="38"/>
  <c r="AY34" i="38"/>
  <c r="AW29" i="38"/>
  <c r="AU5" i="38"/>
  <c r="AQ43" i="38"/>
  <c r="AM35" i="38"/>
  <c r="AI21" i="38"/>
  <c r="BG44" i="38"/>
  <c r="BK28" i="38"/>
  <c r="AO29" i="38"/>
  <c r="G44" i="38"/>
  <c r="BO60" i="38"/>
  <c r="BO35" i="38"/>
  <c r="BO10" i="38"/>
  <c r="BM35" i="38"/>
  <c r="BM10" i="38"/>
  <c r="BK43" i="38"/>
  <c r="BK20" i="38"/>
  <c r="BI44" i="38"/>
  <c r="BG34" i="38"/>
  <c r="BE42" i="38"/>
  <c r="BC26" i="38"/>
  <c r="BA35" i="38"/>
  <c r="AY32" i="38"/>
  <c r="AW21" i="38"/>
  <c r="AS45" i="38"/>
  <c r="AQ35" i="38"/>
  <c r="AM27" i="38"/>
  <c r="AG41" i="38"/>
  <c r="BO44" i="38"/>
  <c r="BA45" i="38"/>
  <c r="G36" i="38"/>
  <c r="BO59" i="38"/>
  <c r="BO28" i="38"/>
  <c r="BO7" i="38"/>
  <c r="BM34" i="38"/>
  <c r="BM9" i="38"/>
  <c r="BK42" i="38"/>
  <c r="BK19" i="38"/>
  <c r="BI23" i="38"/>
  <c r="BE39" i="38"/>
  <c r="BC18" i="38"/>
  <c r="BA27" i="38"/>
  <c r="AW19" i="38"/>
  <c r="AQ21" i="38"/>
  <c r="AK43" i="38"/>
  <c r="AE18" i="38"/>
  <c r="G46" i="38"/>
  <c r="K46" i="38"/>
  <c r="S46" i="38"/>
  <c r="AC46" i="38"/>
  <c r="M46" i="38"/>
  <c r="U46" i="38"/>
  <c r="AE46" i="38"/>
  <c r="O46" i="38"/>
  <c r="I46" i="38"/>
  <c r="Q46" i="38"/>
  <c r="AY46" i="38"/>
  <c r="AM46" i="38"/>
  <c r="AA46" i="38"/>
  <c r="AK46" i="38"/>
  <c r="AQ46" i="38"/>
  <c r="BA46" i="38"/>
  <c r="W46" i="38"/>
  <c r="Y46" i="38" s="1"/>
  <c r="BG46" i="38"/>
  <c r="AO46" i="38"/>
  <c r="AW46" i="38"/>
  <c r="AU46" i="38"/>
  <c r="BC46" i="38"/>
  <c r="AS46" i="38"/>
  <c r="BE46" i="38"/>
  <c r="G15" i="38"/>
  <c r="AA15" i="38"/>
  <c r="K15" i="38"/>
  <c r="S15" i="38"/>
  <c r="AC15" i="38"/>
  <c r="M15" i="38"/>
  <c r="U15" i="38"/>
  <c r="O15" i="38"/>
  <c r="AE15" i="38"/>
  <c r="AK15" i="38"/>
  <c r="AS15" i="38"/>
  <c r="AY15" i="38"/>
  <c r="I15" i="38"/>
  <c r="Q15" i="38"/>
  <c r="W15" i="38"/>
  <c r="Y15" i="38" s="1"/>
  <c r="BK15" i="38"/>
  <c r="AQ15" i="38"/>
  <c r="BA15" i="38"/>
  <c r="BG15" i="38"/>
  <c r="AO15" i="38"/>
  <c r="AW15" i="38"/>
  <c r="AI15" i="38"/>
  <c r="AU15" i="38"/>
  <c r="BC15" i="38"/>
  <c r="AO3" i="38"/>
  <c r="BO15" i="38"/>
  <c r="BO4" i="38"/>
  <c r="BM46" i="38"/>
  <c r="BM24" i="38"/>
  <c r="BM14" i="38"/>
  <c r="BK33" i="38"/>
  <c r="BI41" i="38"/>
  <c r="BE6" i="38"/>
  <c r="AY24" i="38"/>
  <c r="AW31" i="38"/>
  <c r="AS50" i="38"/>
  <c r="AI32" i="38"/>
  <c r="AG32" i="38"/>
  <c r="O25" i="38"/>
  <c r="G30" i="38"/>
  <c r="K30" i="38"/>
  <c r="S30" i="38"/>
  <c r="AC30" i="38"/>
  <c r="M30" i="38"/>
  <c r="U30" i="38"/>
  <c r="AE30" i="38"/>
  <c r="O30" i="38"/>
  <c r="I30" i="38"/>
  <c r="Q30" i="38"/>
  <c r="AY30" i="38"/>
  <c r="AM30" i="38"/>
  <c r="AA30" i="38"/>
  <c r="BA30" i="38"/>
  <c r="BG30" i="38"/>
  <c r="AS30" i="38"/>
  <c r="BC30" i="38"/>
  <c r="AQ30" i="38"/>
  <c r="AO30" i="38"/>
  <c r="AW30" i="38"/>
  <c r="BE30" i="38"/>
  <c r="G4" i="38"/>
  <c r="AC4" i="38"/>
  <c r="M4" i="38"/>
  <c r="U4" i="38"/>
  <c r="AE4" i="38"/>
  <c r="O4" i="38"/>
  <c r="W4" i="38"/>
  <c r="Y4" i="38" s="1"/>
  <c r="I4" i="38"/>
  <c r="Q4" i="38"/>
  <c r="S4" i="38"/>
  <c r="AG4" i="38"/>
  <c r="AM4" i="38"/>
  <c r="AU4" i="38"/>
  <c r="AA4" i="38"/>
  <c r="K4" i="38"/>
  <c r="BA4" i="38"/>
  <c r="BG4" i="38"/>
  <c r="AQ4" i="38"/>
  <c r="BM4" i="38"/>
  <c r="AY4" i="38"/>
  <c r="BC4" i="38"/>
  <c r="AO4" i="38"/>
  <c r="AW4" i="38"/>
  <c r="BI4" i="38"/>
  <c r="BK4" i="38"/>
  <c r="BO3" i="38"/>
  <c r="BM65" i="38"/>
  <c r="BM33" i="38"/>
  <c r="BM23" i="38"/>
  <c r="BK30" i="38"/>
  <c r="BI65" i="38"/>
  <c r="BI17" i="38"/>
  <c r="BG51" i="38"/>
  <c r="BE65" i="38"/>
  <c r="BE4" i="38"/>
  <c r="AU38" i="38"/>
  <c r="AM25" i="38"/>
  <c r="AK30" i="38"/>
  <c r="AI30" i="38"/>
  <c r="AG30" i="38"/>
  <c r="G47" i="38"/>
  <c r="AA47" i="38"/>
  <c r="K47" i="38"/>
  <c r="S47" i="38"/>
  <c r="AC47" i="38"/>
  <c r="M47" i="38"/>
  <c r="U47" i="38"/>
  <c r="O47" i="38"/>
  <c r="AK47" i="38"/>
  <c r="AS47" i="38"/>
  <c r="AY47" i="38"/>
  <c r="W47" i="38"/>
  <c r="Y47" i="38" s="1"/>
  <c r="Q47" i="38"/>
  <c r="AG47" i="38"/>
  <c r="AI47" i="38"/>
  <c r="BK47" i="38"/>
  <c r="AQ47" i="38"/>
  <c r="BA47" i="38"/>
  <c r="BG47" i="38"/>
  <c r="AO47" i="38"/>
  <c r="AW47" i="38"/>
  <c r="AU47" i="38"/>
  <c r="BC47" i="38"/>
  <c r="AE47" i="38"/>
  <c r="G16" i="38"/>
  <c r="I16" i="38"/>
  <c r="Q16" i="38"/>
  <c r="AA16" i="38"/>
  <c r="K16" i="38"/>
  <c r="S16" i="38"/>
  <c r="AC16" i="38"/>
  <c r="M16" i="38"/>
  <c r="O16" i="38"/>
  <c r="AG16" i="38"/>
  <c r="AE16" i="38"/>
  <c r="AK16" i="38"/>
  <c r="AS16" i="38"/>
  <c r="BE16" i="38"/>
  <c r="AY16" i="38"/>
  <c r="BK16" i="38"/>
  <c r="U16" i="38"/>
  <c r="AQ16" i="38"/>
  <c r="BA16" i="38"/>
  <c r="BG16" i="38"/>
  <c r="AO16" i="38"/>
  <c r="AW16" i="38"/>
  <c r="W16" i="38"/>
  <c r="Y16" i="38" s="1"/>
  <c r="AM16" i="38"/>
  <c r="BI16" i="38"/>
  <c r="AG17" i="38"/>
  <c r="I17" i="38"/>
  <c r="Q17" i="38"/>
  <c r="AA17" i="38"/>
  <c r="K17" i="38"/>
  <c r="S17" i="38"/>
  <c r="M17" i="38"/>
  <c r="AC17" i="38"/>
  <c r="AI17" i="38"/>
  <c r="AQ17" i="38"/>
  <c r="AW17" i="38"/>
  <c r="AE17" i="38"/>
  <c r="AK17" i="38"/>
  <c r="O17" i="38"/>
  <c r="U17" i="38"/>
  <c r="W17" i="38"/>
  <c r="Y17" i="38" s="1"/>
  <c r="BO17" i="38"/>
  <c r="G17" i="38"/>
  <c r="BE17" i="38"/>
  <c r="AY17" i="38"/>
  <c r="BA17" i="38"/>
  <c r="BG17" i="38"/>
  <c r="AU17" i="38"/>
  <c r="BC17" i="38"/>
  <c r="BI38" i="38"/>
  <c r="BC51" i="38"/>
  <c r="AU30" i="38"/>
  <c r="AO8" i="38"/>
  <c r="AM17" i="38"/>
  <c r="AG15" i="38"/>
  <c r="G14" i="38"/>
  <c r="K14" i="38"/>
  <c r="S14" i="38"/>
  <c r="AC14" i="38"/>
  <c r="M14" i="38"/>
  <c r="U14" i="38"/>
  <c r="AE14" i="38"/>
  <c r="O14" i="38"/>
  <c r="I14" i="38"/>
  <c r="Q14" i="38"/>
  <c r="AY14" i="38"/>
  <c r="AM14" i="38"/>
  <c r="AA14" i="38"/>
  <c r="AQ14" i="38"/>
  <c r="BA14" i="38"/>
  <c r="BG14" i="38"/>
  <c r="AO14" i="38"/>
  <c r="AW14" i="38"/>
  <c r="AI14" i="38"/>
  <c r="AK14" i="38"/>
  <c r="AU14" i="38"/>
  <c r="BC14" i="38"/>
  <c r="AG14" i="38"/>
  <c r="AS14" i="38"/>
  <c r="BE14" i="38"/>
  <c r="G31" i="38"/>
  <c r="AA31" i="38"/>
  <c r="K31" i="38"/>
  <c r="S31" i="38"/>
  <c r="AC31" i="38"/>
  <c r="M31" i="38"/>
  <c r="U31" i="38"/>
  <c r="O31" i="38"/>
  <c r="AK31" i="38"/>
  <c r="AS31" i="38"/>
  <c r="AE31" i="38"/>
  <c r="AY31" i="38"/>
  <c r="I31" i="38"/>
  <c r="Q31" i="38"/>
  <c r="W31" i="38"/>
  <c r="Y31" i="38" s="1"/>
  <c r="AU31" i="38"/>
  <c r="BK31" i="38"/>
  <c r="AM31" i="38"/>
  <c r="BA31" i="38"/>
  <c r="BG31" i="38"/>
  <c r="BC31" i="38"/>
  <c r="AG31" i="38"/>
  <c r="AI31" i="38"/>
  <c r="BI3" i="38"/>
  <c r="G24" i="38"/>
  <c r="I24" i="38"/>
  <c r="Q24" i="38"/>
  <c r="AA24" i="38"/>
  <c r="K24" i="38"/>
  <c r="S24" i="38"/>
  <c r="AC24" i="38"/>
  <c r="M24" i="38"/>
  <c r="O24" i="38"/>
  <c r="U24" i="38"/>
  <c r="AK24" i="38"/>
  <c r="AS24" i="38"/>
  <c r="W24" i="38"/>
  <c r="Y24" i="38" s="1"/>
  <c r="AQ24" i="38"/>
  <c r="BE24" i="38"/>
  <c r="BK24" i="38"/>
  <c r="AG24" i="38"/>
  <c r="AI24" i="38"/>
  <c r="AO24" i="38"/>
  <c r="AW24" i="38"/>
  <c r="BA24" i="38"/>
  <c r="AU24" i="38"/>
  <c r="BG24" i="38"/>
  <c r="AM24" i="38"/>
  <c r="BI24" i="38"/>
  <c r="W3" i="38"/>
  <c r="Y3" i="38" s="1"/>
  <c r="BO24" i="38"/>
  <c r="I33" i="38"/>
  <c r="Q33" i="38"/>
  <c r="AA33" i="38"/>
  <c r="K33" i="38"/>
  <c r="S33" i="38"/>
  <c r="M33" i="38"/>
  <c r="AC33" i="38"/>
  <c r="AI33" i="38"/>
  <c r="AQ33" i="38"/>
  <c r="AW33" i="38"/>
  <c r="AK33" i="38"/>
  <c r="U33" i="38"/>
  <c r="O33" i="38"/>
  <c r="W33" i="38"/>
  <c r="Y33" i="38" s="1"/>
  <c r="AG33" i="38"/>
  <c r="BO33" i="38"/>
  <c r="AE33" i="38"/>
  <c r="AO33" i="38"/>
  <c r="BE33" i="38"/>
  <c r="AU33" i="38"/>
  <c r="AM33" i="38"/>
  <c r="AS33" i="38"/>
  <c r="BA33" i="38"/>
  <c r="AY33" i="38"/>
  <c r="BC33" i="38"/>
  <c r="BM41" i="38"/>
  <c r="BM31" i="38"/>
  <c r="BM8" i="38"/>
  <c r="BK51" i="38"/>
  <c r="BK14" i="38"/>
  <c r="BI33" i="38"/>
  <c r="BI14" i="38"/>
  <c r="BE29" i="38"/>
  <c r="BC49" i="38"/>
  <c r="BC16" i="38"/>
  <c r="AO6" i="38"/>
  <c r="AM15" i="38"/>
  <c r="AI16" i="38"/>
  <c r="AA65" i="38"/>
  <c r="G22" i="38"/>
  <c r="K22" i="38"/>
  <c r="S22" i="38"/>
  <c r="AC22" i="38"/>
  <c r="M22" i="38"/>
  <c r="U22" i="38"/>
  <c r="AE22" i="38"/>
  <c r="O22" i="38"/>
  <c r="I22" i="38"/>
  <c r="Q22" i="38"/>
  <c r="W22" i="38"/>
  <c r="Y22" i="38" s="1"/>
  <c r="AY22" i="38"/>
  <c r="AM22" i="38"/>
  <c r="AA22" i="38"/>
  <c r="AG22" i="38"/>
  <c r="AI22" i="38"/>
  <c r="AK22" i="38"/>
  <c r="AO22" i="38"/>
  <c r="AW22" i="38"/>
  <c r="BA22" i="38"/>
  <c r="AU22" i="38"/>
  <c r="BG22" i="38"/>
  <c r="BC22" i="38"/>
  <c r="AS22" i="38"/>
  <c r="AQ22" i="38"/>
  <c r="BE22" i="38"/>
  <c r="G39" i="38"/>
  <c r="AA39" i="38"/>
  <c r="K39" i="38"/>
  <c r="S39" i="38"/>
  <c r="AC39" i="38"/>
  <c r="M39" i="38"/>
  <c r="U39" i="38"/>
  <c r="O39" i="38"/>
  <c r="AK39" i="38"/>
  <c r="AS39" i="38"/>
  <c r="W39" i="38"/>
  <c r="Y39" i="38" s="1"/>
  <c r="AY39" i="38"/>
  <c r="I39" i="38"/>
  <c r="Q39" i="38"/>
  <c r="BK39" i="38"/>
  <c r="BA39" i="38"/>
  <c r="BG39" i="38"/>
  <c r="AG39" i="38"/>
  <c r="AI39" i="38"/>
  <c r="AQ39" i="38"/>
  <c r="AE39" i="38"/>
  <c r="BC39" i="38"/>
  <c r="AU39" i="38"/>
  <c r="U3" i="38"/>
  <c r="BO47" i="38"/>
  <c r="G40" i="38"/>
  <c r="I40" i="38"/>
  <c r="Q40" i="38"/>
  <c r="AA40" i="38"/>
  <c r="K40" i="38"/>
  <c r="S40" i="38"/>
  <c r="AC40" i="38"/>
  <c r="M40" i="38"/>
  <c r="O40" i="38"/>
  <c r="U40" i="38"/>
  <c r="AK40" i="38"/>
  <c r="AS40" i="38"/>
  <c r="W40" i="38"/>
  <c r="Y40" i="38" s="1"/>
  <c r="AM40" i="38"/>
  <c r="BE40" i="38"/>
  <c r="BK40" i="38"/>
  <c r="BA40" i="38"/>
  <c r="AY40" i="38"/>
  <c r="BG40" i="38"/>
  <c r="AG40" i="38"/>
  <c r="AI40" i="38"/>
  <c r="AQ40" i="38"/>
  <c r="AO40" i="38"/>
  <c r="AW40" i="38"/>
  <c r="BI40" i="38"/>
  <c r="BO46" i="38"/>
  <c r="G50" i="38"/>
  <c r="I50" i="38"/>
  <c r="Q50" i="38"/>
  <c r="AA50" i="38"/>
  <c r="K50" i="38"/>
  <c r="S50" i="38"/>
  <c r="M50" i="38"/>
  <c r="AC50" i="38"/>
  <c r="AI50" i="38"/>
  <c r="AQ50" i="38"/>
  <c r="AW50" i="38"/>
  <c r="O50" i="38"/>
  <c r="U50" i="38"/>
  <c r="W50" i="38"/>
  <c r="Y50" i="38" s="1"/>
  <c r="AE50" i="38"/>
  <c r="BO50" i="38"/>
  <c r="AK50" i="38"/>
  <c r="BE50" i="38"/>
  <c r="AG50" i="38"/>
  <c r="AY50" i="38"/>
  <c r="BA50" i="38"/>
  <c r="AU50" i="38"/>
  <c r="BC50" i="38"/>
  <c r="BI15" i="38"/>
  <c r="AA3" i="38"/>
  <c r="BM40" i="38"/>
  <c r="BM30" i="38"/>
  <c r="BK50" i="38"/>
  <c r="BI50" i="38"/>
  <c r="BI31" i="38"/>
  <c r="BG25" i="38"/>
  <c r="BE47" i="38"/>
  <c r="BA29" i="38"/>
  <c r="AM50" i="38"/>
  <c r="AM6" i="38"/>
  <c r="AI6" i="38"/>
  <c r="G3" i="38"/>
  <c r="BM3" i="38"/>
  <c r="AW3" i="38"/>
  <c r="AG3" i="38"/>
  <c r="Q3" i="38"/>
  <c r="BK3" i="38"/>
  <c r="AU3" i="38"/>
  <c r="AE3" i="38"/>
  <c r="O3" i="38"/>
  <c r="G38" i="38"/>
  <c r="K38" i="38"/>
  <c r="S38" i="38"/>
  <c r="AC38" i="38"/>
  <c r="M38" i="38"/>
  <c r="U38" i="38"/>
  <c r="AE38" i="38"/>
  <c r="O38" i="38"/>
  <c r="I38" i="38"/>
  <c r="Q38" i="38"/>
  <c r="W38" i="38"/>
  <c r="Y38" i="38" s="1"/>
  <c r="AY38" i="38"/>
  <c r="AM38" i="38"/>
  <c r="AA38" i="38"/>
  <c r="AS38" i="38"/>
  <c r="BA38" i="38"/>
  <c r="BG38" i="38"/>
  <c r="AG38" i="38"/>
  <c r="AI38" i="38"/>
  <c r="AK38" i="38"/>
  <c r="AQ38" i="38"/>
  <c r="BC38" i="38"/>
  <c r="AO38" i="38"/>
  <c r="AW38" i="38"/>
  <c r="BE38" i="38"/>
  <c r="AM3" i="38"/>
  <c r="G5" i="38"/>
  <c r="K5" i="38"/>
  <c r="S5" i="38"/>
  <c r="AC5" i="38"/>
  <c r="M5" i="38"/>
  <c r="U5" i="38"/>
  <c r="AE5" i="38"/>
  <c r="O5" i="38"/>
  <c r="I5" i="38"/>
  <c r="Q5" i="38"/>
  <c r="W5" i="38"/>
  <c r="Y5" i="38" s="1"/>
  <c r="AY5" i="38"/>
  <c r="AG5" i="38"/>
  <c r="AM5" i="38"/>
  <c r="AA5" i="38"/>
  <c r="AS5" i="38"/>
  <c r="BA5" i="38"/>
  <c r="BG5" i="38"/>
  <c r="AQ5" i="38"/>
  <c r="BC5" i="38"/>
  <c r="AO5" i="38"/>
  <c r="AW5" i="38"/>
  <c r="AI5" i="38"/>
  <c r="AK5" i="38"/>
  <c r="BE5" i="38"/>
  <c r="G49" i="38"/>
  <c r="I49" i="38"/>
  <c r="Q49" i="38"/>
  <c r="AA49" i="38"/>
  <c r="K49" i="38"/>
  <c r="S49" i="38"/>
  <c r="AC49" i="38"/>
  <c r="M49" i="38"/>
  <c r="O49" i="38"/>
  <c r="AK49" i="38"/>
  <c r="AS49" i="38"/>
  <c r="U49" i="38"/>
  <c r="BE49" i="38"/>
  <c r="AG49" i="38"/>
  <c r="AI49" i="38"/>
  <c r="AY49" i="38"/>
  <c r="BK49" i="38"/>
  <c r="W49" i="38"/>
  <c r="Y49" i="38" s="1"/>
  <c r="AQ49" i="38"/>
  <c r="BA49" i="38"/>
  <c r="BG49" i="38"/>
  <c r="AO49" i="38"/>
  <c r="AW49" i="38"/>
  <c r="AM49" i="38"/>
  <c r="BI49" i="38"/>
  <c r="AG8" i="38"/>
  <c r="I8" i="38"/>
  <c r="Q8" i="38"/>
  <c r="AA8" i="38"/>
  <c r="K8" i="38"/>
  <c r="S8" i="38"/>
  <c r="M8" i="38"/>
  <c r="AI8" i="38"/>
  <c r="AQ8" i="38"/>
  <c r="AW8" i="38"/>
  <c r="AK8" i="38"/>
  <c r="W8" i="38"/>
  <c r="Y8" i="38" s="1"/>
  <c r="O8" i="38"/>
  <c r="U8" i="38"/>
  <c r="AU8" i="38"/>
  <c r="BO8" i="38"/>
  <c r="AM8" i="38"/>
  <c r="AS8" i="38"/>
  <c r="BE8" i="38"/>
  <c r="AE8" i="38"/>
  <c r="AY8" i="38"/>
  <c r="BA8" i="38"/>
  <c r="BG8" i="38"/>
  <c r="AC8" i="38"/>
  <c r="BC8" i="38"/>
  <c r="I41" i="38"/>
  <c r="Q41" i="38"/>
  <c r="AA41" i="38"/>
  <c r="K41" i="38"/>
  <c r="S41" i="38"/>
  <c r="M41" i="38"/>
  <c r="O41" i="38"/>
  <c r="AE41" i="38"/>
  <c r="AI41" i="38"/>
  <c r="AQ41" i="38"/>
  <c r="AW41" i="38"/>
  <c r="U41" i="38"/>
  <c r="W41" i="38"/>
  <c r="Y41" i="38" s="1"/>
  <c r="AU41" i="38"/>
  <c r="BO41" i="38"/>
  <c r="AM41" i="38"/>
  <c r="AS41" i="38"/>
  <c r="BE41" i="38"/>
  <c r="G41" i="38"/>
  <c r="AK41" i="38"/>
  <c r="BA41" i="38"/>
  <c r="AY41" i="38"/>
  <c r="AC41" i="38"/>
  <c r="BC41" i="38"/>
  <c r="G8" i="38"/>
  <c r="AS3" i="38"/>
  <c r="BM22" i="38"/>
  <c r="BK41" i="38"/>
  <c r="BG50" i="38"/>
  <c r="AY3" i="38"/>
  <c r="AC3" i="38"/>
  <c r="G11" i="38"/>
  <c r="M11" i="38"/>
  <c r="U11" i="38"/>
  <c r="AE11" i="38"/>
  <c r="O11" i="38"/>
  <c r="W11" i="38"/>
  <c r="Y11" i="38" s="1"/>
  <c r="AG11" i="38"/>
  <c r="I11" i="38"/>
  <c r="Q11" i="38"/>
  <c r="K11" i="38"/>
  <c r="S11" i="38"/>
  <c r="AU11" i="38"/>
  <c r="AO11" i="38"/>
  <c r="AA11" i="38"/>
  <c r="AC11" i="38"/>
  <c r="AW11" i="38"/>
  <c r="BM11" i="38"/>
  <c r="AI11" i="38"/>
  <c r="AK11" i="38"/>
  <c r="BC11" i="38"/>
  <c r="BI11" i="38"/>
  <c r="AM11" i="38"/>
  <c r="AS11" i="38"/>
  <c r="BE11" i="38"/>
  <c r="AQ11" i="38"/>
  <c r="BA11" i="38"/>
  <c r="M20" i="38"/>
  <c r="U20" i="38"/>
  <c r="AE20" i="38"/>
  <c r="O20" i="38"/>
  <c r="W20" i="38"/>
  <c r="Y20" i="38" s="1"/>
  <c r="AG20" i="38"/>
  <c r="I20" i="38"/>
  <c r="Q20" i="38"/>
  <c r="K20" i="38"/>
  <c r="S20" i="38"/>
  <c r="AU20" i="38"/>
  <c r="AA20" i="38"/>
  <c r="AO20" i="38"/>
  <c r="BM20" i="38"/>
  <c r="BI20" i="38"/>
  <c r="AC20" i="38"/>
  <c r="BC20" i="38"/>
  <c r="G20" i="38"/>
  <c r="AM20" i="38"/>
  <c r="AS20" i="38"/>
  <c r="AQ20" i="38"/>
  <c r="BE20" i="38"/>
  <c r="AI20" i="38"/>
  <c r="AK20" i="38"/>
  <c r="AW20" i="38"/>
  <c r="BA20" i="38"/>
  <c r="M28" i="38"/>
  <c r="U28" i="38"/>
  <c r="AE28" i="38"/>
  <c r="O28" i="38"/>
  <c r="W28" i="38"/>
  <c r="Y28" i="38" s="1"/>
  <c r="I28" i="38"/>
  <c r="Q28" i="38"/>
  <c r="K28" i="38"/>
  <c r="S28" i="38"/>
  <c r="AU28" i="38"/>
  <c r="AG28" i="38"/>
  <c r="AO28" i="38"/>
  <c r="AA28" i="38"/>
  <c r="AC28" i="38"/>
  <c r="AM28" i="38"/>
  <c r="AS28" i="38"/>
  <c r="BM28" i="38"/>
  <c r="BC28" i="38"/>
  <c r="AQ28" i="38"/>
  <c r="BI28" i="38"/>
  <c r="AI28" i="38"/>
  <c r="AK28" i="38"/>
  <c r="AY28" i="38"/>
  <c r="AW28" i="38"/>
  <c r="BE28" i="38"/>
  <c r="BA28" i="38"/>
  <c r="M36" i="38"/>
  <c r="U36" i="38"/>
  <c r="AE36" i="38"/>
  <c r="O36" i="38"/>
  <c r="W36" i="38"/>
  <c r="Y36" i="38" s="1"/>
  <c r="I36" i="38"/>
  <c r="Q36" i="38"/>
  <c r="K36" i="38"/>
  <c r="S36" i="38"/>
  <c r="AU36" i="38"/>
  <c r="AA36" i="38"/>
  <c r="AG36" i="38"/>
  <c r="AO36" i="38"/>
  <c r="AI36" i="38"/>
  <c r="AK36" i="38"/>
  <c r="AQ36" i="38"/>
  <c r="BM36" i="38"/>
  <c r="BI36" i="38"/>
  <c r="AY36" i="38"/>
  <c r="BC36" i="38"/>
  <c r="AW36" i="38"/>
  <c r="BE36" i="38"/>
  <c r="AM36" i="38"/>
  <c r="AS36" i="38"/>
  <c r="BA36" i="38"/>
  <c r="M44" i="38"/>
  <c r="U44" i="38"/>
  <c r="AE44" i="38"/>
  <c r="O44" i="38"/>
  <c r="W44" i="38"/>
  <c r="Y44" i="38" s="1"/>
  <c r="I44" i="38"/>
  <c r="Q44" i="38"/>
  <c r="K44" i="38"/>
  <c r="S44" i="38"/>
  <c r="AU44" i="38"/>
  <c r="AG44" i="38"/>
  <c r="AO44" i="38"/>
  <c r="AA44" i="38"/>
  <c r="AC44" i="38"/>
  <c r="AW44" i="38"/>
  <c r="BM44" i="38"/>
  <c r="BC44" i="38"/>
  <c r="AM44" i="38"/>
  <c r="AS44" i="38"/>
  <c r="BE44" i="38"/>
  <c r="AK44" i="38"/>
  <c r="AQ44" i="38"/>
  <c r="BA44" i="38"/>
  <c r="G62" i="38"/>
  <c r="M62" i="38"/>
  <c r="U62" i="38"/>
  <c r="AE62" i="38"/>
  <c r="O62" i="38"/>
  <c r="W62" i="38"/>
  <c r="Y62" i="38" s="1"/>
  <c r="I62" i="38"/>
  <c r="Q62" i="38"/>
  <c r="K62" i="38"/>
  <c r="S62" i="38"/>
  <c r="AA62" i="38"/>
  <c r="AG62" i="38"/>
  <c r="AO62" i="38"/>
  <c r="AU62" i="38"/>
  <c r="BG62" i="38"/>
  <c r="AC62" i="38"/>
  <c r="BM62" i="38"/>
  <c r="AI62" i="38"/>
  <c r="AM62" i="38"/>
  <c r="BC62" i="38"/>
  <c r="AS62" i="38"/>
  <c r="BI62" i="38"/>
  <c r="AK62" i="38"/>
  <c r="AQ62" i="38"/>
  <c r="AY62" i="38"/>
  <c r="K3" i="38"/>
  <c r="AI3" i="38"/>
  <c r="BC3" i="38"/>
  <c r="BO40" i="38"/>
  <c r="BO30" i="38"/>
  <c r="BO20" i="38"/>
  <c r="BM50" i="38"/>
  <c r="BM39" i="38"/>
  <c r="BM17" i="38"/>
  <c r="BM6" i="38"/>
  <c r="BK46" i="38"/>
  <c r="BK36" i="38"/>
  <c r="BK25" i="38"/>
  <c r="BI47" i="38"/>
  <c r="BI30" i="38"/>
  <c r="BI6" i="38"/>
  <c r="BG20" i="38"/>
  <c r="BC40" i="38"/>
  <c r="AU16" i="38"/>
  <c r="AQ31" i="38"/>
  <c r="AO39" i="38"/>
  <c r="AM47" i="38"/>
  <c r="AK4" i="38"/>
  <c r="AI4" i="38"/>
  <c r="AE40" i="38"/>
  <c r="G51" i="38"/>
  <c r="AW51" i="38"/>
  <c r="AS51" i="38"/>
  <c r="BI51" i="38"/>
  <c r="BO51" i="38"/>
  <c r="BE51" i="38"/>
  <c r="AY51" i="38"/>
  <c r="BA51" i="38"/>
  <c r="G65" i="38"/>
  <c r="K65" i="38"/>
  <c r="S65" i="38"/>
  <c r="AC65" i="38"/>
  <c r="M65" i="38"/>
  <c r="U65" i="38"/>
  <c r="AE65" i="38"/>
  <c r="O65" i="38"/>
  <c r="I65" i="38"/>
  <c r="Q65" i="38"/>
  <c r="W65" i="38"/>
  <c r="Y65" i="38" s="1"/>
  <c r="AS65" i="38"/>
  <c r="AM65" i="38"/>
  <c r="AO65" i="38"/>
  <c r="BK65" i="38"/>
  <c r="BG65" i="38"/>
  <c r="AW65" i="38"/>
  <c r="BA65" i="38"/>
  <c r="AU65" i="38"/>
  <c r="AG65" i="38"/>
  <c r="AI65" i="38"/>
  <c r="BC65" i="38"/>
  <c r="AK65" i="38"/>
  <c r="AQ65" i="38"/>
  <c r="S3" i="38"/>
  <c r="BG3" i="38"/>
  <c r="BO38" i="38"/>
  <c r="W14" i="38"/>
  <c r="Y14" i="38" s="1"/>
  <c r="G23" i="38"/>
  <c r="AA23" i="38"/>
  <c r="K23" i="38"/>
  <c r="S23" i="38"/>
  <c r="AC23" i="38"/>
  <c r="M23" i="38"/>
  <c r="U23" i="38"/>
  <c r="O23" i="38"/>
  <c r="AK23" i="38"/>
  <c r="AS23" i="38"/>
  <c r="W23" i="38"/>
  <c r="Y23" i="38" s="1"/>
  <c r="AY23" i="38"/>
  <c r="I23" i="38"/>
  <c r="Q23" i="38"/>
  <c r="BK23" i="38"/>
  <c r="BG23" i="38"/>
  <c r="AG23" i="38"/>
  <c r="AI23" i="38"/>
  <c r="AO23" i="38"/>
  <c r="AW23" i="38"/>
  <c r="BA23" i="38"/>
  <c r="AU23" i="38"/>
  <c r="AM23" i="38"/>
  <c r="BC23" i="38"/>
  <c r="AE23" i="38"/>
  <c r="G32" i="38"/>
  <c r="I32" i="38"/>
  <c r="Q32" i="38"/>
  <c r="AA32" i="38"/>
  <c r="K32" i="38"/>
  <c r="S32" i="38"/>
  <c r="AC32" i="38"/>
  <c r="M32" i="38"/>
  <c r="O32" i="38"/>
  <c r="AK32" i="38"/>
  <c r="AS32" i="38"/>
  <c r="AE32" i="38"/>
  <c r="U32" i="38"/>
  <c r="W32" i="38"/>
  <c r="Y32" i="38" s="1"/>
  <c r="AO32" i="38"/>
  <c r="AW32" i="38"/>
  <c r="BE32" i="38"/>
  <c r="AU32" i="38"/>
  <c r="BK32" i="38"/>
  <c r="AM32" i="38"/>
  <c r="BA32" i="38"/>
  <c r="BG32" i="38"/>
  <c r="AQ32" i="38"/>
  <c r="BI32" i="38"/>
  <c r="AQ3" i="38"/>
  <c r="G6" i="38"/>
  <c r="AA6" i="38"/>
  <c r="K6" i="38"/>
  <c r="S6" i="38"/>
  <c r="AC6" i="38"/>
  <c r="M6" i="38"/>
  <c r="U6" i="38"/>
  <c r="O6" i="38"/>
  <c r="AK6" i="38"/>
  <c r="AS6" i="38"/>
  <c r="I6" i="38"/>
  <c r="W6" i="38"/>
  <c r="Y6" i="38" s="1"/>
  <c r="AY6" i="38"/>
  <c r="Q6" i="38"/>
  <c r="AG6" i="38"/>
  <c r="BK6" i="38"/>
  <c r="AE6" i="38"/>
  <c r="BA6" i="38"/>
  <c r="BG6" i="38"/>
  <c r="AQ6" i="38"/>
  <c r="BC6" i="38"/>
  <c r="AU6" i="38"/>
  <c r="I25" i="38"/>
  <c r="Q25" i="38"/>
  <c r="AA25" i="38"/>
  <c r="K25" i="38"/>
  <c r="S25" i="38"/>
  <c r="M25" i="38"/>
  <c r="AI25" i="38"/>
  <c r="AQ25" i="38"/>
  <c r="AW25" i="38"/>
  <c r="U25" i="38"/>
  <c r="AK25" i="38"/>
  <c r="W25" i="38"/>
  <c r="Y25" i="38" s="1"/>
  <c r="AE25" i="38"/>
  <c r="AY25" i="38"/>
  <c r="BO25" i="38"/>
  <c r="BE25" i="38"/>
  <c r="AC25" i="38"/>
  <c r="AG25" i="38"/>
  <c r="AO25" i="38"/>
  <c r="BA25" i="38"/>
  <c r="AU25" i="38"/>
  <c r="BC25" i="38"/>
  <c r="BO65" i="38"/>
  <c r="BO23" i="38"/>
  <c r="BM32" i="38"/>
  <c r="BK17" i="38"/>
  <c r="BO22" i="38"/>
  <c r="G33" i="38"/>
  <c r="BA3" i="38"/>
  <c r="BO31" i="38"/>
  <c r="AC13" i="38"/>
  <c r="M13" i="38"/>
  <c r="U13" i="38"/>
  <c r="AE13" i="38"/>
  <c r="O13" i="38"/>
  <c r="W13" i="38"/>
  <c r="Y13" i="38" s="1"/>
  <c r="I13" i="38"/>
  <c r="Q13" i="38"/>
  <c r="K13" i="38"/>
  <c r="AM13" i="38"/>
  <c r="S13" i="38"/>
  <c r="AU13" i="38"/>
  <c r="AA13" i="38"/>
  <c r="AY13" i="38"/>
  <c r="BG13" i="38"/>
  <c r="AO13" i="38"/>
  <c r="AW13" i="38"/>
  <c r="BM13" i="38"/>
  <c r="AI13" i="38"/>
  <c r="AK13" i="38"/>
  <c r="BC13" i="38"/>
  <c r="BI13" i="38"/>
  <c r="BK13" i="38"/>
  <c r="AC21" i="38"/>
  <c r="M21" i="38"/>
  <c r="U21" i="38"/>
  <c r="AE21" i="38"/>
  <c r="O21" i="38"/>
  <c r="W21" i="38"/>
  <c r="Y21" i="38" s="1"/>
  <c r="I21" i="38"/>
  <c r="Q21" i="38"/>
  <c r="AM21" i="38"/>
  <c r="K21" i="38"/>
  <c r="AU21" i="38"/>
  <c r="S21" i="38"/>
  <c r="AA21" i="38"/>
  <c r="AG21" i="38"/>
  <c r="BG21" i="38"/>
  <c r="BM21" i="38"/>
  <c r="BC21" i="38"/>
  <c r="AS21" i="38"/>
  <c r="BI21" i="38"/>
  <c r="AY21" i="38"/>
  <c r="BK21" i="38"/>
  <c r="AC29" i="38"/>
  <c r="M29" i="38"/>
  <c r="U29" i="38"/>
  <c r="O29" i="38"/>
  <c r="W29" i="38"/>
  <c r="Y29" i="38" s="1"/>
  <c r="I29" i="38"/>
  <c r="Q29" i="38"/>
  <c r="AE29" i="38"/>
  <c r="AM29" i="38"/>
  <c r="AU29" i="38"/>
  <c r="K29" i="38"/>
  <c r="AG29" i="38"/>
  <c r="S29" i="38"/>
  <c r="BG29" i="38"/>
  <c r="AS29" i="38"/>
  <c r="BM29" i="38"/>
  <c r="AA29" i="38"/>
  <c r="BC29" i="38"/>
  <c r="AQ29" i="38"/>
  <c r="BI29" i="38"/>
  <c r="AI29" i="38"/>
  <c r="AK29" i="38"/>
  <c r="AY29" i="38"/>
  <c r="BK29" i="38"/>
  <c r="AC37" i="38"/>
  <c r="M37" i="38"/>
  <c r="U37" i="38"/>
  <c r="O37" i="38"/>
  <c r="W37" i="38"/>
  <c r="Y37" i="38" s="1"/>
  <c r="I37" i="38"/>
  <c r="Q37" i="38"/>
  <c r="AM37" i="38"/>
  <c r="AU37" i="38"/>
  <c r="AA37" i="38"/>
  <c r="AG37" i="38"/>
  <c r="K37" i="38"/>
  <c r="BG37" i="38"/>
  <c r="G37" i="38"/>
  <c r="S37" i="38"/>
  <c r="AI37" i="38"/>
  <c r="AK37" i="38"/>
  <c r="AQ37" i="38"/>
  <c r="BM37" i="38"/>
  <c r="AY37" i="38"/>
  <c r="BC37" i="38"/>
  <c r="AE37" i="38"/>
  <c r="AO37" i="38"/>
  <c r="AW37" i="38"/>
  <c r="BI37" i="38"/>
  <c r="AC45" i="38"/>
  <c r="M45" i="38"/>
  <c r="U45" i="38"/>
  <c r="O45" i="38"/>
  <c r="W45" i="38"/>
  <c r="Y45" i="38" s="1"/>
  <c r="I45" i="38"/>
  <c r="Q45" i="38"/>
  <c r="S45" i="38"/>
  <c r="AM45" i="38"/>
  <c r="AU45" i="38"/>
  <c r="AE45" i="38"/>
  <c r="AG45" i="38"/>
  <c r="K45" i="38"/>
  <c r="AY45" i="38"/>
  <c r="BG45" i="38"/>
  <c r="AO45" i="38"/>
  <c r="AW45" i="38"/>
  <c r="BM45" i="38"/>
  <c r="BC45" i="38"/>
  <c r="BI45" i="38"/>
  <c r="AA45" i="38"/>
  <c r="AI45" i="38"/>
  <c r="AC64" i="38"/>
  <c r="M64" i="38"/>
  <c r="U64" i="38"/>
  <c r="O64" i="38"/>
  <c r="W64" i="38"/>
  <c r="Y64" i="38" s="1"/>
  <c r="I64" i="38"/>
  <c r="Q64" i="38"/>
  <c r="AM64" i="38"/>
  <c r="AY64" i="38"/>
  <c r="S64" i="38"/>
  <c r="AA64" i="38"/>
  <c r="AG64" i="38"/>
  <c r="K64" i="38"/>
  <c r="AW64" i="38"/>
  <c r="BA64" i="38"/>
  <c r="AU64" i="38"/>
  <c r="BG64" i="38"/>
  <c r="AE64" i="38"/>
  <c r="AI64" i="38"/>
  <c r="BC64" i="38"/>
  <c r="AS64" i="38"/>
  <c r="BE64" i="38"/>
  <c r="G28" i="38"/>
  <c r="M3" i="38"/>
  <c r="AK3" i="38"/>
  <c r="BE3" i="38"/>
  <c r="BO39" i="38"/>
  <c r="BO29" i="38"/>
  <c r="BO6" i="38"/>
  <c r="BM49" i="38"/>
  <c r="BM38" i="38"/>
  <c r="BM16" i="38"/>
  <c r="BM5" i="38"/>
  <c r="BK45" i="38"/>
  <c r="BK22" i="38"/>
  <c r="BI46" i="38"/>
  <c r="BI25" i="38"/>
  <c r="BI5" i="38"/>
  <c r="BG41" i="38"/>
  <c r="BE15" i="38"/>
  <c r="BA62" i="38"/>
  <c r="BA21" i="38"/>
  <c r="AU51" i="38"/>
  <c r="AS17" i="38"/>
  <c r="AQ23" i="38"/>
  <c r="AO31" i="38"/>
  <c r="AM39" i="38"/>
  <c r="AK45" i="38"/>
  <c r="AI46" i="38"/>
  <c r="AG46" i="38"/>
  <c r="AE24" i="38"/>
  <c r="W30" i="38"/>
  <c r="Y30" i="38" s="1"/>
  <c r="BI7" i="38"/>
  <c r="BG35" i="38"/>
  <c r="BG27" i="38"/>
  <c r="BG19" i="38"/>
  <c r="BG10" i="38"/>
  <c r="BA60" i="38"/>
  <c r="AY43" i="38"/>
  <c r="AY10" i="38"/>
  <c r="AW60" i="38"/>
  <c r="AW7" i="38"/>
  <c r="AU27" i="38"/>
  <c r="AS26" i="38"/>
  <c r="AO59" i="38"/>
  <c r="AO18" i="38"/>
  <c r="AO7" i="38"/>
  <c r="AM26" i="38"/>
  <c r="AK34" i="38"/>
  <c r="AG42" i="38"/>
  <c r="M10" i="38"/>
  <c r="BA42" i="38"/>
  <c r="BA34" i="38"/>
  <c r="BA26" i="38"/>
  <c r="BA18" i="38"/>
  <c r="AY59" i="38"/>
  <c r="AY19" i="38"/>
  <c r="AU35" i="38"/>
  <c r="AS34" i="38"/>
  <c r="AQ7" i="38"/>
  <c r="AO26" i="38"/>
  <c r="AM34" i="38"/>
  <c r="AK42" i="38"/>
  <c r="AK18" i="38"/>
  <c r="AG26" i="38"/>
  <c r="AG10" i="38"/>
  <c r="AC27" i="38"/>
  <c r="U59" i="38"/>
  <c r="I67" i="38"/>
  <c r="G67" i="38"/>
  <c r="AG67" i="38"/>
  <c r="BC67" i="38"/>
  <c r="M67" i="38"/>
  <c r="AK67" i="38"/>
  <c r="BE67" i="38"/>
  <c r="O67" i="38"/>
  <c r="AM67" i="38"/>
  <c r="BI67" i="38"/>
  <c r="S67" i="38"/>
  <c r="AO67" i="38"/>
  <c r="BK67" i="38"/>
  <c r="U67" i="38"/>
  <c r="AS67" i="38"/>
  <c r="BM67" i="38"/>
  <c r="W67" i="38"/>
  <c r="Y67" i="38" s="1"/>
  <c r="AU67" i="38"/>
  <c r="AC67" i="38"/>
  <c r="AW67" i="38"/>
  <c r="BA67" i="38"/>
  <c r="AE67" i="38"/>
  <c r="BG7" i="38"/>
  <c r="BE59" i="38"/>
  <c r="BE43" i="38"/>
  <c r="BE35" i="38"/>
  <c r="BE27" i="38"/>
  <c r="BE19" i="38"/>
  <c r="BE10" i="38"/>
  <c r="BA7" i="38"/>
  <c r="AY18" i="38"/>
  <c r="AY7" i="38"/>
  <c r="AW27" i="38"/>
  <c r="AU34" i="38"/>
  <c r="AS43" i="38"/>
  <c r="AS10" i="38"/>
  <c r="AQ60" i="38"/>
  <c r="AQ19" i="38"/>
  <c r="AM43" i="38"/>
  <c r="AM10" i="38"/>
  <c r="AK60" i="38"/>
  <c r="AG59" i="38"/>
  <c r="AG7" i="38"/>
  <c r="AC26" i="38"/>
  <c r="AA43" i="38"/>
  <c r="U34" i="38"/>
  <c r="BE9" i="38"/>
  <c r="AY27" i="38"/>
  <c r="AU43" i="38"/>
  <c r="AU10" i="38"/>
  <c r="AS60" i="38"/>
  <c r="AS42" i="38"/>
  <c r="AS9" i="38"/>
  <c r="AO34" i="38"/>
  <c r="AK27" i="38"/>
  <c r="G7" i="38"/>
  <c r="I7" i="38"/>
  <c r="Q7" i="38"/>
  <c r="AA7" i="38"/>
  <c r="K7" i="38"/>
  <c r="S7" i="38"/>
  <c r="AC7" i="38"/>
  <c r="M7" i="38"/>
  <c r="O7" i="38"/>
  <c r="AK7" i="38"/>
  <c r="AS7" i="38"/>
  <c r="W7" i="38"/>
  <c r="Y7" i="38" s="1"/>
  <c r="U7" i="38"/>
  <c r="G9" i="38"/>
  <c r="O9" i="38"/>
  <c r="W9" i="38"/>
  <c r="Y9" i="38" s="1"/>
  <c r="AG9" i="38"/>
  <c r="I9" i="38"/>
  <c r="Q9" i="38"/>
  <c r="AA9" i="38"/>
  <c r="K9" i="38"/>
  <c r="S9" i="38"/>
  <c r="M9" i="38"/>
  <c r="U9" i="38"/>
  <c r="AI9" i="38"/>
  <c r="AQ9" i="38"/>
  <c r="AW9" i="38"/>
  <c r="AE9" i="38"/>
  <c r="G18" i="38"/>
  <c r="O18" i="38"/>
  <c r="W18" i="38"/>
  <c r="Y18" i="38" s="1"/>
  <c r="AG18" i="38"/>
  <c r="I18" i="38"/>
  <c r="Q18" i="38"/>
  <c r="AA18" i="38"/>
  <c r="K18" i="38"/>
  <c r="S18" i="38"/>
  <c r="M18" i="38"/>
  <c r="U18" i="38"/>
  <c r="AC18" i="38"/>
  <c r="AI18" i="38"/>
  <c r="AQ18" i="38"/>
  <c r="AW18" i="38"/>
  <c r="G26" i="38"/>
  <c r="O26" i="38"/>
  <c r="W26" i="38"/>
  <c r="Y26" i="38" s="1"/>
  <c r="I26" i="38"/>
  <c r="Q26" i="38"/>
  <c r="AA26" i="38"/>
  <c r="K26" i="38"/>
  <c r="M26" i="38"/>
  <c r="U26" i="38"/>
  <c r="AI26" i="38"/>
  <c r="AQ26" i="38"/>
  <c r="AW26" i="38"/>
  <c r="S26" i="38"/>
  <c r="AE26" i="38"/>
  <c r="G34" i="38"/>
  <c r="O34" i="38"/>
  <c r="W34" i="38"/>
  <c r="Y34" i="38" s="1"/>
  <c r="I34" i="38"/>
  <c r="Q34" i="38"/>
  <c r="AA34" i="38"/>
  <c r="K34" i="38"/>
  <c r="M34" i="38"/>
  <c r="AC34" i="38"/>
  <c r="AI34" i="38"/>
  <c r="AQ34" i="38"/>
  <c r="AW34" i="38"/>
  <c r="S34" i="38"/>
  <c r="G42" i="38"/>
  <c r="O42" i="38"/>
  <c r="W42" i="38"/>
  <c r="Y42" i="38" s="1"/>
  <c r="I42" i="38"/>
  <c r="Q42" i="38"/>
  <c r="AA42" i="38"/>
  <c r="K42" i="38"/>
  <c r="M42" i="38"/>
  <c r="AE42" i="38"/>
  <c r="AI42" i="38"/>
  <c r="AQ42" i="38"/>
  <c r="AW42" i="38"/>
  <c r="U42" i="38"/>
  <c r="S42" i="38"/>
  <c r="G59" i="38"/>
  <c r="O59" i="38"/>
  <c r="W59" i="38"/>
  <c r="Y59" i="38" s="1"/>
  <c r="I59" i="38"/>
  <c r="Q59" i="38"/>
  <c r="AA59" i="38"/>
  <c r="K59" i="38"/>
  <c r="M59" i="38"/>
  <c r="S59" i="38"/>
  <c r="AC59" i="38"/>
  <c r="AI59" i="38"/>
  <c r="AQ59" i="38"/>
  <c r="BO42" i="38"/>
  <c r="BO34" i="38"/>
  <c r="BO26" i="38"/>
  <c r="BO18" i="38"/>
  <c r="BO9" i="38"/>
  <c r="BK7" i="38"/>
  <c r="BI59" i="38"/>
  <c r="BI35" i="38"/>
  <c r="BI27" i="38"/>
  <c r="BI19" i="38"/>
  <c r="BC60" i="38"/>
  <c r="AY26" i="38"/>
  <c r="AU42" i="38"/>
  <c r="AU9" i="38"/>
  <c r="AS59" i="38"/>
  <c r="AS19" i="38"/>
  <c r="AQ27" i="38"/>
  <c r="AK26" i="38"/>
  <c r="AG34" i="38"/>
  <c r="AE59" i="38"/>
  <c r="G10" i="38"/>
  <c r="AE10" i="38"/>
  <c r="O10" i="38"/>
  <c r="W10" i="38"/>
  <c r="Y10" i="38" s="1"/>
  <c r="I10" i="38"/>
  <c r="Q10" i="38"/>
  <c r="K10" i="38"/>
  <c r="S10" i="38"/>
  <c r="AO10" i="38"/>
  <c r="BA10" i="38"/>
  <c r="AI10" i="38"/>
  <c r="U10" i="38"/>
  <c r="G19" i="38"/>
  <c r="AE19" i="38"/>
  <c r="O19" i="38"/>
  <c r="W19" i="38"/>
  <c r="Y19" i="38" s="1"/>
  <c r="I19" i="38"/>
  <c r="Q19" i="38"/>
  <c r="K19" i="38"/>
  <c r="S19" i="38"/>
  <c r="U19" i="38"/>
  <c r="AA19" i="38"/>
  <c r="AO19" i="38"/>
  <c r="AG19" i="38"/>
  <c r="AC19" i="38"/>
  <c r="AI19" i="38"/>
  <c r="M19" i="38"/>
  <c r="G27" i="38"/>
  <c r="AE27" i="38"/>
  <c r="O27" i="38"/>
  <c r="W27" i="38"/>
  <c r="Y27" i="38" s="1"/>
  <c r="I27" i="38"/>
  <c r="Q27" i="38"/>
  <c r="K27" i="38"/>
  <c r="S27" i="38"/>
  <c r="M27" i="38"/>
  <c r="AG27" i="38"/>
  <c r="AO27" i="38"/>
  <c r="AI27" i="38"/>
  <c r="U27" i="38"/>
  <c r="G35" i="38"/>
  <c r="AE35" i="38"/>
  <c r="O35" i="38"/>
  <c r="W35" i="38"/>
  <c r="Y35" i="38" s="1"/>
  <c r="I35" i="38"/>
  <c r="Q35" i="38"/>
  <c r="K35" i="38"/>
  <c r="S35" i="38"/>
  <c r="AA35" i="38"/>
  <c r="AG35" i="38"/>
  <c r="AO35" i="38"/>
  <c r="M35" i="38"/>
  <c r="AC35" i="38"/>
  <c r="AI35" i="38"/>
  <c r="U35" i="38"/>
  <c r="G43" i="38"/>
  <c r="AE43" i="38"/>
  <c r="O43" i="38"/>
  <c r="W43" i="38"/>
  <c r="Y43" i="38" s="1"/>
  <c r="I43" i="38"/>
  <c r="Q43" i="38"/>
  <c r="K43" i="38"/>
  <c r="S43" i="38"/>
  <c r="AG43" i="38"/>
  <c r="AO43" i="38"/>
  <c r="M43" i="38"/>
  <c r="AI43" i="38"/>
  <c r="U43" i="38"/>
  <c r="G60" i="38"/>
  <c r="AE60" i="38"/>
  <c r="O60" i="38"/>
  <c r="W60" i="38"/>
  <c r="Y60" i="38" s="1"/>
  <c r="I60" i="38"/>
  <c r="Q60" i="38"/>
  <c r="K60" i="38"/>
  <c r="S60" i="38"/>
  <c r="AA60" i="38"/>
  <c r="AG60" i="38"/>
  <c r="AO60" i="38"/>
  <c r="AU60" i="38"/>
  <c r="AC60" i="38"/>
  <c r="AI60" i="38"/>
  <c r="M60" i="38"/>
  <c r="U60" i="38"/>
  <c r="BM60" i="38"/>
  <c r="BI42" i="38"/>
  <c r="BI34" i="38"/>
  <c r="BI26" i="38"/>
  <c r="BI18" i="38"/>
  <c r="BI9" i="38"/>
  <c r="BE7" i="38"/>
  <c r="BC59" i="38"/>
  <c r="BC43" i="38"/>
  <c r="BC35" i="38"/>
  <c r="BC27" i="38"/>
  <c r="BC19" i="38"/>
  <c r="BC10" i="38"/>
  <c r="AY35" i="38"/>
  <c r="AU59" i="38"/>
  <c r="AU19" i="38"/>
  <c r="AS18" i="38"/>
  <c r="AO42" i="38"/>
  <c r="AO9" i="38"/>
  <c r="AM59" i="38"/>
  <c r="AM18" i="38"/>
  <c r="AM7" i="38"/>
  <c r="AK10" i="38"/>
  <c r="AI7" i="38"/>
  <c r="AC43" i="38"/>
  <c r="AC10" i="38"/>
  <c r="G52" i="38"/>
  <c r="M52" i="38"/>
  <c r="U52" i="38"/>
  <c r="AC52" i="38"/>
  <c r="AK52" i="38"/>
  <c r="AS52" i="38"/>
  <c r="BA52" i="38"/>
  <c r="G58" i="38"/>
  <c r="M58" i="38"/>
  <c r="U58" i="38"/>
  <c r="AC58" i="38"/>
  <c r="AK58" i="38"/>
  <c r="AS58" i="38"/>
  <c r="BA58" i="38"/>
  <c r="G57" i="38"/>
  <c r="M57" i="38"/>
  <c r="U57" i="38"/>
  <c r="AC57" i="38"/>
  <c r="AK57" i="38"/>
  <c r="AS57" i="38"/>
  <c r="BA57" i="38"/>
  <c r="G56" i="38"/>
  <c r="M56" i="38"/>
  <c r="U56" i="38"/>
  <c r="AC56" i="38"/>
  <c r="AK56" i="38"/>
  <c r="AS56" i="38"/>
  <c r="BA56" i="38"/>
  <c r="G55" i="38"/>
  <c r="M55" i="38"/>
  <c r="U55" i="38"/>
  <c r="AC55" i="38"/>
  <c r="AK55" i="38"/>
  <c r="AS55" i="38"/>
  <c r="BA55" i="38"/>
  <c r="G54" i="38"/>
  <c r="M54" i="38"/>
  <c r="U54" i="38"/>
  <c r="AC54" i="38"/>
  <c r="AK54" i="38"/>
  <c r="AS54" i="38"/>
  <c r="BA54" i="38"/>
  <c r="G53" i="38"/>
  <c r="M53" i="38"/>
  <c r="U53" i="38"/>
  <c r="AC53" i="38"/>
  <c r="AK53" i="38"/>
  <c r="AS53" i="38"/>
  <c r="BA53" i="38"/>
  <c r="BI52" i="38"/>
  <c r="BO58" i="38"/>
  <c r="BG58" i="38"/>
  <c r="AY58" i="38"/>
  <c r="AQ58" i="38"/>
  <c r="AI58" i="38"/>
  <c r="AA58" i="38"/>
  <c r="S58" i="38"/>
  <c r="K58" i="38"/>
  <c r="BO57" i="38"/>
  <c r="BG57" i="38"/>
  <c r="AY57" i="38"/>
  <c r="AQ57" i="38"/>
  <c r="AI57" i="38"/>
  <c r="AA57" i="38"/>
  <c r="S57" i="38"/>
  <c r="K57" i="38"/>
  <c r="BO56" i="38"/>
  <c r="BG56" i="38"/>
  <c r="AY56" i="38"/>
  <c r="AQ56" i="38"/>
  <c r="AI56" i="38"/>
  <c r="AA56" i="38"/>
  <c r="S56" i="38"/>
  <c r="K56" i="38"/>
  <c r="BO55" i="38"/>
  <c r="BG55" i="38"/>
  <c r="AY55" i="38"/>
  <c r="AQ55" i="38"/>
  <c r="AI55" i="38"/>
  <c r="AA55" i="38"/>
  <c r="S55" i="38"/>
  <c r="K55" i="38"/>
  <c r="BO54" i="38"/>
  <c r="BG54" i="38"/>
  <c r="AY54" i="38"/>
  <c r="AQ54" i="38"/>
  <c r="AI54" i="38"/>
  <c r="AA54" i="38"/>
  <c r="S54" i="38"/>
  <c r="K54" i="38"/>
  <c r="BO53" i="38"/>
  <c r="BG53" i="38"/>
  <c r="AY53" i="38"/>
  <c r="AQ53" i="38"/>
  <c r="AI53" i="38"/>
  <c r="AA53" i="38"/>
  <c r="S53" i="38"/>
  <c r="K53" i="38"/>
  <c r="BO52" i="38"/>
  <c r="BG52" i="38"/>
  <c r="AY52" i="38"/>
  <c r="AQ52" i="38"/>
  <c r="AI52" i="38"/>
  <c r="AA52" i="38"/>
  <c r="S52" i="38"/>
  <c r="K52" i="38"/>
  <c r="BM58" i="38"/>
  <c r="BE58" i="38"/>
  <c r="AW58" i="38"/>
  <c r="AO58" i="38"/>
  <c r="AG58" i="38"/>
  <c r="Q58" i="38"/>
  <c r="I58" i="38"/>
  <c r="BM57" i="38"/>
  <c r="BE57" i="38"/>
  <c r="AW57" i="38"/>
  <c r="AO57" i="38"/>
  <c r="AG57" i="38"/>
  <c r="Q57" i="38"/>
  <c r="I57" i="38"/>
  <c r="BM56" i="38"/>
  <c r="BE56" i="38"/>
  <c r="AW56" i="38"/>
  <c r="AO56" i="38"/>
  <c r="AG56" i="38"/>
  <c r="Q56" i="38"/>
  <c r="I56" i="38"/>
  <c r="BM55" i="38"/>
  <c r="BE55" i="38"/>
  <c r="AW55" i="38"/>
  <c r="AO55" i="38"/>
  <c r="AG55" i="38"/>
  <c r="Q55" i="38"/>
  <c r="I55" i="38"/>
  <c r="BM54" i="38"/>
  <c r="BE54" i="38"/>
  <c r="AW54" i="38"/>
  <c r="AO54" i="38"/>
  <c r="AG54" i="38"/>
  <c r="Q54" i="38"/>
  <c r="I54" i="38"/>
  <c r="BM53" i="38"/>
  <c r="BE53" i="38"/>
  <c r="AW53" i="38"/>
  <c r="AO53" i="38"/>
  <c r="AG53" i="38"/>
  <c r="Q53" i="38"/>
  <c r="I53" i="38"/>
  <c r="BM52" i="38"/>
  <c r="BE52" i="38"/>
  <c r="AW52" i="38"/>
  <c r="AO52" i="38"/>
  <c r="AG52" i="38"/>
  <c r="Q52" i="38"/>
  <c r="I52" i="38"/>
  <c r="BK58" i="38"/>
  <c r="BC58" i="38"/>
  <c r="AU58" i="38"/>
  <c r="AM58" i="38"/>
  <c r="AE58" i="38"/>
  <c r="W58" i="38"/>
  <c r="Y58" i="38" s="1"/>
  <c r="O58" i="38"/>
  <c r="BK57" i="38"/>
  <c r="BC57" i="38"/>
  <c r="AU57" i="38"/>
  <c r="AM57" i="38"/>
  <c r="AE57" i="38"/>
  <c r="W57" i="38"/>
  <c r="Y57" i="38" s="1"/>
  <c r="O57" i="38"/>
  <c r="BK56" i="38"/>
  <c r="BC56" i="38"/>
  <c r="AU56" i="38"/>
  <c r="AM56" i="38"/>
  <c r="AE56" i="38"/>
  <c r="W56" i="38"/>
  <c r="Y56" i="38" s="1"/>
  <c r="O56" i="38"/>
  <c r="BK55" i="38"/>
  <c r="BC55" i="38"/>
  <c r="AU55" i="38"/>
  <c r="AM55" i="38"/>
  <c r="AE55" i="38"/>
  <c r="W55" i="38"/>
  <c r="Y55" i="38" s="1"/>
  <c r="O55" i="38"/>
  <c r="BK54" i="38"/>
  <c r="BC54" i="38"/>
  <c r="AU54" i="38"/>
  <c r="AM54" i="38"/>
  <c r="AE54" i="38"/>
  <c r="W54" i="38"/>
  <c r="Y54" i="38" s="1"/>
  <c r="O54" i="38"/>
  <c r="BK53" i="38"/>
  <c r="BC53" i="38"/>
  <c r="AU53" i="38"/>
  <c r="AM53" i="38"/>
  <c r="AE53" i="38"/>
  <c r="W53" i="38"/>
  <c r="Y53" i="38" s="1"/>
  <c r="O53" i="38"/>
  <c r="BK52" i="38"/>
  <c r="BC52" i="38"/>
  <c r="AU52" i="38"/>
  <c r="AM52" i="38"/>
  <c r="AE52" i="38"/>
  <c r="W52" i="38"/>
  <c r="Y52" i="38" s="1"/>
  <c r="O52" i="38"/>
  <c r="AI63" i="38"/>
  <c r="AI48" i="38"/>
  <c r="AI12" i="38"/>
  <c r="U63" i="38"/>
  <c r="U48" i="38"/>
  <c r="U12" i="38"/>
  <c r="S63" i="38"/>
  <c r="S48" i="38"/>
  <c r="S12" i="38"/>
  <c r="O61" i="38"/>
  <c r="M61" i="38"/>
  <c r="K61" i="38"/>
  <c r="I61" i="38"/>
  <c r="BO48" i="38"/>
  <c r="BK63" i="38"/>
  <c r="BG63" i="38"/>
  <c r="BG12" i="38"/>
  <c r="BE48" i="38"/>
  <c r="BC63" i="38"/>
  <c r="BC48" i="38"/>
  <c r="BC12" i="38"/>
  <c r="BA63" i="38"/>
  <c r="BA48" i="38"/>
  <c r="BA12" i="38"/>
  <c r="AY63" i="38"/>
  <c r="AY48" i="38"/>
  <c r="AY12" i="38"/>
  <c r="AW63" i="38"/>
  <c r="AW48" i="38"/>
  <c r="AW12" i="38"/>
  <c r="AU63" i="38"/>
  <c r="AU48" i="38"/>
  <c r="AU12" i="38"/>
  <c r="AS63" i="38"/>
  <c r="AS48" i="38"/>
  <c r="AS12" i="38"/>
  <c r="AQ63" i="38"/>
  <c r="AQ48" i="38"/>
  <c r="AQ12" i="38"/>
  <c r="AO63" i="38"/>
  <c r="AO48" i="38"/>
  <c r="AO12" i="38"/>
  <c r="AM63" i="38"/>
  <c r="AM48" i="38"/>
  <c r="AM12" i="38"/>
  <c r="AK63" i="38"/>
  <c r="AK48" i="38"/>
  <c r="AK12" i="38"/>
  <c r="AI51" i="38"/>
  <c r="AI66" i="38"/>
  <c r="AG63" i="38"/>
  <c r="AG48" i="38"/>
  <c r="AG12" i="38"/>
  <c r="AE63" i="38"/>
  <c r="AE48" i="38"/>
  <c r="AE12" i="38"/>
  <c r="AC63" i="38"/>
  <c r="AC48" i="38"/>
  <c r="AC12" i="38"/>
  <c r="AA63" i="38"/>
  <c r="AA48" i="38"/>
  <c r="AA12" i="38"/>
  <c r="W63" i="38"/>
  <c r="Y63" i="38" s="1"/>
  <c r="W48" i="38"/>
  <c r="Y48" i="38" s="1"/>
  <c r="W12" i="38"/>
  <c r="Y12" i="38" s="1"/>
  <c r="U51" i="38"/>
  <c r="S66" i="38"/>
  <c r="S51" i="38"/>
  <c r="U66" i="38"/>
  <c r="Q63" i="38"/>
  <c r="Q48" i="38"/>
  <c r="Q12" i="38"/>
  <c r="BO63" i="38"/>
  <c r="BO12" i="38"/>
  <c r="BK48" i="38"/>
  <c r="BG48" i="38"/>
  <c r="G12" i="38"/>
  <c r="BO66" i="38"/>
  <c r="BM66" i="38"/>
  <c r="BK66" i="38"/>
  <c r="BI66" i="38"/>
  <c r="BA66" i="38"/>
  <c r="AS66" i="38"/>
  <c r="AQ66" i="38"/>
  <c r="AQ51" i="38"/>
  <c r="AO66" i="38"/>
  <c r="AO51" i="38"/>
  <c r="AM66" i="38"/>
  <c r="AM51" i="38"/>
  <c r="AK66" i="38"/>
  <c r="AK51" i="38"/>
  <c r="AI61" i="38"/>
  <c r="AG66" i="38"/>
  <c r="AG51" i="38"/>
  <c r="AE66" i="38"/>
  <c r="AE51" i="38"/>
  <c r="AC66" i="38"/>
  <c r="AC51" i="38"/>
  <c r="AA66" i="38"/>
  <c r="AA51" i="38"/>
  <c r="W51" i="38"/>
  <c r="Y51" i="38" s="1"/>
  <c r="U61" i="38"/>
  <c r="S61" i="38"/>
  <c r="W66" i="38"/>
  <c r="Y66" i="38" s="1"/>
  <c r="Q51" i="38"/>
  <c r="Q66" i="38"/>
  <c r="O63" i="38"/>
  <c r="O48" i="38"/>
  <c r="O12" i="38"/>
  <c r="M63" i="38"/>
  <c r="M48" i="38"/>
  <c r="M12" i="38"/>
  <c r="K63" i="38"/>
  <c r="K48" i="38"/>
  <c r="K12" i="38"/>
  <c r="I63" i="38"/>
  <c r="I48" i="38"/>
  <c r="I12" i="38"/>
  <c r="BM63" i="38"/>
  <c r="BM48" i="38"/>
  <c r="BM12" i="38"/>
  <c r="BK12" i="38"/>
  <c r="BI63" i="38"/>
  <c r="BI48" i="38"/>
  <c r="BI12" i="38"/>
  <c r="BE63" i="38"/>
  <c r="BG66" i="38"/>
  <c r="BE66" i="38"/>
  <c r="BC66" i="38"/>
  <c r="AY66" i="38"/>
  <c r="AW66" i="38"/>
  <c r="AU66" i="38"/>
  <c r="BO61" i="38"/>
  <c r="BM61" i="38"/>
  <c r="BK61" i="38"/>
  <c r="BI61" i="38"/>
  <c r="BG61" i="38"/>
  <c r="BE61" i="38"/>
  <c r="BC61" i="38"/>
  <c r="BA61" i="38"/>
  <c r="AY61" i="38"/>
  <c r="AW61" i="38"/>
  <c r="AU61" i="38"/>
  <c r="AS61" i="38"/>
  <c r="AQ61" i="38"/>
  <c r="AO61" i="38"/>
  <c r="AM61" i="38"/>
  <c r="AK61" i="38"/>
  <c r="AG61" i="38"/>
  <c r="AE61" i="38"/>
  <c r="AC61" i="38"/>
  <c r="AA61" i="38"/>
  <c r="W61" i="38"/>
  <c r="Y61" i="38" s="1"/>
  <c r="Q61" i="38"/>
  <c r="O66" i="38"/>
  <c r="O51" i="38"/>
  <c r="M66" i="38"/>
  <c r="M51" i="38"/>
  <c r="K66" i="38"/>
  <c r="K51" i="38"/>
  <c r="I66" i="38"/>
  <c r="I51" i="38"/>
  <c r="K67" i="38"/>
  <c r="BO67" i="38"/>
  <c r="BG67" i="38"/>
  <c r="AY67" i="38"/>
  <c r="AQ67" i="38"/>
  <c r="AI67" i="38"/>
  <c r="AA67" i="38"/>
  <c r="Q67" i="38"/>
  <c r="F12" i="34" l="1"/>
  <c r="H23" i="3"/>
  <c r="D23" i="3"/>
  <c r="F10" i="34"/>
  <c r="F8" i="34"/>
  <c r="G18" i="3"/>
  <c r="BO68" i="38"/>
  <c r="BE68" i="38"/>
  <c r="BM68" i="38"/>
  <c r="M68" i="38"/>
  <c r="Q68" i="38"/>
  <c r="Y68" i="38"/>
  <c r="AE68" i="38"/>
  <c r="AK68" i="38"/>
  <c r="AO68" i="38"/>
  <c r="BA68" i="38"/>
  <c r="AQ68" i="38"/>
  <c r="I68" i="38"/>
  <c r="G68" i="38"/>
  <c r="U68" i="38"/>
  <c r="AI68" i="38"/>
  <c r="BC68" i="38"/>
  <c r="AM68" i="38"/>
  <c r="AW68" i="38"/>
  <c r="AC68" i="38"/>
  <c r="AA68" i="38"/>
  <c r="BI68" i="38"/>
  <c r="O68" i="38"/>
  <c r="BG68" i="38"/>
  <c r="AG68" i="38"/>
  <c r="AS68" i="38"/>
  <c r="K68" i="38"/>
  <c r="AU68" i="38"/>
  <c r="S68" i="38"/>
  <c r="BK68" i="38"/>
  <c r="AY68" i="38"/>
  <c r="W68" i="38"/>
  <c r="I23" i="3" l="1"/>
  <c r="F76" i="7"/>
  <c r="AJ31" i="33" s="1"/>
  <c r="F75" i="7"/>
  <c r="AJ30" i="33" s="1"/>
  <c r="F74" i="7"/>
  <c r="AJ29" i="33" s="1"/>
  <c r="F73" i="7"/>
  <c r="AJ28" i="33" s="1"/>
  <c r="F72" i="7"/>
  <c r="AJ27" i="33" s="1"/>
  <c r="F71" i="7"/>
  <c r="AJ26" i="33" s="1"/>
  <c r="F70" i="7"/>
  <c r="AJ25" i="33" s="1"/>
  <c r="F68" i="7"/>
  <c r="AJ22" i="33"/>
  <c r="F66" i="7"/>
  <c r="AJ21" i="33" s="1"/>
  <c r="F65" i="7"/>
  <c r="AJ20" i="33" s="1"/>
  <c r="F64" i="7"/>
  <c r="AJ19" i="33" s="1"/>
  <c r="F63" i="7"/>
  <c r="AJ18" i="33" s="1"/>
  <c r="E61" i="7"/>
  <c r="D61" i="7"/>
  <c r="C61" i="7"/>
  <c r="B61" i="7"/>
  <c r="F60" i="7"/>
  <c r="AJ15" i="33" s="1"/>
  <c r="F59" i="7"/>
  <c r="AJ14" i="33" s="1"/>
  <c r="F58" i="7"/>
  <c r="AJ13" i="33" s="1"/>
  <c r="F57" i="7"/>
  <c r="AJ12" i="33" s="1"/>
  <c r="E55" i="7"/>
  <c r="D55" i="7"/>
  <c r="C55" i="7"/>
  <c r="F54" i="7"/>
  <c r="AJ9" i="33" s="1"/>
  <c r="F53" i="7"/>
  <c r="AJ8" i="33" s="1"/>
  <c r="F52" i="7"/>
  <c r="AJ7" i="33" s="1"/>
  <c r="F51" i="7"/>
  <c r="AJ6" i="33" s="1"/>
  <c r="F50" i="7"/>
  <c r="AJ5" i="33" s="1"/>
  <c r="F49" i="7"/>
  <c r="AJ4" i="33" s="1"/>
  <c r="F76" i="10"/>
  <c r="AI31" i="33" s="1"/>
  <c r="F75" i="10"/>
  <c r="AI30" i="33" s="1"/>
  <c r="F74" i="10"/>
  <c r="AI29" i="33" s="1"/>
  <c r="F73" i="10"/>
  <c r="AI28" i="33" s="1"/>
  <c r="F72" i="10"/>
  <c r="AI27" i="33" s="1"/>
  <c r="F71" i="10"/>
  <c r="AI26" i="33" s="1"/>
  <c r="F70" i="10"/>
  <c r="AI25" i="33" s="1"/>
  <c r="F68" i="10"/>
  <c r="AI22" i="33"/>
  <c r="F66" i="10"/>
  <c r="AI21" i="33" s="1"/>
  <c r="F65" i="10"/>
  <c r="AI20" i="33" s="1"/>
  <c r="F64" i="10"/>
  <c r="AI19" i="33" s="1"/>
  <c r="F63" i="10"/>
  <c r="AI18" i="33" s="1"/>
  <c r="E61" i="10"/>
  <c r="D61" i="10"/>
  <c r="C61" i="10"/>
  <c r="B61" i="10"/>
  <c r="F60" i="10"/>
  <c r="AI15" i="33" s="1"/>
  <c r="F59" i="10"/>
  <c r="AI14" i="33" s="1"/>
  <c r="F58" i="10"/>
  <c r="AI13" i="33" s="1"/>
  <c r="F57" i="10"/>
  <c r="AI12" i="33" s="1"/>
  <c r="E55" i="10"/>
  <c r="D55" i="10"/>
  <c r="C55" i="10"/>
  <c r="F54" i="10"/>
  <c r="AI9" i="33" s="1"/>
  <c r="F53" i="10"/>
  <c r="AI8" i="33" s="1"/>
  <c r="F52" i="10"/>
  <c r="AI7" i="33" s="1"/>
  <c r="F51" i="10"/>
  <c r="AI6" i="33" s="1"/>
  <c r="F50" i="10"/>
  <c r="AI5" i="33" s="1"/>
  <c r="F49" i="10"/>
  <c r="AI4" i="33" s="1"/>
  <c r="F76" i="11"/>
  <c r="AH31" i="33" s="1"/>
  <c r="F75" i="11"/>
  <c r="AH30" i="33" s="1"/>
  <c r="F74" i="11"/>
  <c r="AH29" i="33" s="1"/>
  <c r="F73" i="11"/>
  <c r="AH28" i="33" s="1"/>
  <c r="F72" i="11"/>
  <c r="AH27" i="33" s="1"/>
  <c r="F71" i="11"/>
  <c r="AH26" i="33" s="1"/>
  <c r="F70" i="11"/>
  <c r="AH25" i="33" s="1"/>
  <c r="F68" i="11"/>
  <c r="AH22" i="33"/>
  <c r="F66" i="11"/>
  <c r="AH21" i="33" s="1"/>
  <c r="F65" i="11"/>
  <c r="AH20" i="33" s="1"/>
  <c r="F64" i="11"/>
  <c r="AH19" i="33" s="1"/>
  <c r="F63" i="11"/>
  <c r="AH18" i="33" s="1"/>
  <c r="E61" i="11"/>
  <c r="D61" i="11"/>
  <c r="C61" i="11"/>
  <c r="B61" i="11"/>
  <c r="F60" i="11"/>
  <c r="AH15" i="33" s="1"/>
  <c r="F59" i="11"/>
  <c r="AH14" i="33" s="1"/>
  <c r="F58" i="11"/>
  <c r="AH13" i="33" s="1"/>
  <c r="F57" i="11"/>
  <c r="AH12" i="33" s="1"/>
  <c r="E55" i="11"/>
  <c r="D55" i="11"/>
  <c r="C55" i="11"/>
  <c r="F54" i="11"/>
  <c r="AH9" i="33" s="1"/>
  <c r="F53" i="11"/>
  <c r="AH8" i="33" s="1"/>
  <c r="F52" i="11"/>
  <c r="AH7" i="33" s="1"/>
  <c r="F51" i="11"/>
  <c r="AH6" i="33" s="1"/>
  <c r="F50" i="11"/>
  <c r="AH5" i="33" s="1"/>
  <c r="F49" i="11"/>
  <c r="AH4" i="33" s="1"/>
  <c r="F76" i="12"/>
  <c r="AG31" i="33" s="1"/>
  <c r="F75" i="12"/>
  <c r="AG30" i="33" s="1"/>
  <c r="F74" i="12"/>
  <c r="AG29" i="33" s="1"/>
  <c r="F73" i="12"/>
  <c r="AG28" i="33" s="1"/>
  <c r="F72" i="12"/>
  <c r="AG27" i="33" s="1"/>
  <c r="F71" i="12"/>
  <c r="AG26" i="33" s="1"/>
  <c r="F70" i="12"/>
  <c r="AG25" i="33" s="1"/>
  <c r="F68" i="12"/>
  <c r="AG22" i="33"/>
  <c r="F66" i="12"/>
  <c r="AG21" i="33" s="1"/>
  <c r="F65" i="12"/>
  <c r="AG20" i="33" s="1"/>
  <c r="F64" i="12"/>
  <c r="AG19" i="33" s="1"/>
  <c r="F63" i="12"/>
  <c r="AG18" i="33" s="1"/>
  <c r="E61" i="12"/>
  <c r="D61" i="12"/>
  <c r="C61" i="12"/>
  <c r="B61" i="12"/>
  <c r="F60" i="12"/>
  <c r="AG15" i="33" s="1"/>
  <c r="F59" i="12"/>
  <c r="AG14" i="33" s="1"/>
  <c r="F58" i="12"/>
  <c r="AG13" i="33" s="1"/>
  <c r="F57" i="12"/>
  <c r="AG12" i="33" s="1"/>
  <c r="E55" i="12"/>
  <c r="D55" i="12"/>
  <c r="C55" i="12"/>
  <c r="F54" i="12"/>
  <c r="AG9" i="33" s="1"/>
  <c r="F53" i="12"/>
  <c r="AG8" i="33" s="1"/>
  <c r="F52" i="12"/>
  <c r="AG7" i="33" s="1"/>
  <c r="F51" i="12"/>
  <c r="AG6" i="33" s="1"/>
  <c r="F50" i="12"/>
  <c r="AG5" i="33" s="1"/>
  <c r="F49" i="12"/>
  <c r="AG4" i="33" s="1"/>
  <c r="F76" i="13"/>
  <c r="AF31" i="33" s="1"/>
  <c r="F75" i="13"/>
  <c r="AF30" i="33" s="1"/>
  <c r="F74" i="13"/>
  <c r="AF29" i="33" s="1"/>
  <c r="F73" i="13"/>
  <c r="AF28" i="33" s="1"/>
  <c r="F72" i="13"/>
  <c r="AF27" i="33" s="1"/>
  <c r="F71" i="13"/>
  <c r="AF26" i="33" s="1"/>
  <c r="F70" i="13"/>
  <c r="AF25" i="33" s="1"/>
  <c r="F68" i="13"/>
  <c r="AF22" i="33"/>
  <c r="F66" i="13"/>
  <c r="AF21" i="33" s="1"/>
  <c r="F65" i="13"/>
  <c r="AF20" i="33" s="1"/>
  <c r="F64" i="13"/>
  <c r="AF19" i="33" s="1"/>
  <c r="F63" i="13"/>
  <c r="AF18" i="33" s="1"/>
  <c r="E61" i="13"/>
  <c r="D61" i="13"/>
  <c r="C61" i="13"/>
  <c r="B61" i="13"/>
  <c r="F60" i="13"/>
  <c r="AF15" i="33" s="1"/>
  <c r="F59" i="13"/>
  <c r="AF14" i="33" s="1"/>
  <c r="F58" i="13"/>
  <c r="AF13" i="33" s="1"/>
  <c r="F57" i="13"/>
  <c r="AF12" i="33" s="1"/>
  <c r="E55" i="13"/>
  <c r="D55" i="13"/>
  <c r="C55" i="13"/>
  <c r="F54" i="13"/>
  <c r="AF9" i="33" s="1"/>
  <c r="F53" i="13"/>
  <c r="AF8" i="33" s="1"/>
  <c r="F52" i="13"/>
  <c r="AF7" i="33" s="1"/>
  <c r="F51" i="13"/>
  <c r="AF6" i="33" s="1"/>
  <c r="F50" i="13"/>
  <c r="AF5" i="33" s="1"/>
  <c r="F49" i="13"/>
  <c r="AF4" i="33" s="1"/>
  <c r="F76" i="14"/>
  <c r="AE31" i="33" s="1"/>
  <c r="F75" i="14"/>
  <c r="AE30" i="33" s="1"/>
  <c r="F74" i="14"/>
  <c r="AE29" i="33" s="1"/>
  <c r="F73" i="14"/>
  <c r="AE28" i="33" s="1"/>
  <c r="F72" i="14"/>
  <c r="AE27" i="33" s="1"/>
  <c r="F71" i="14"/>
  <c r="AE26" i="33" s="1"/>
  <c r="F70" i="14"/>
  <c r="AE25" i="33" s="1"/>
  <c r="F68" i="14"/>
  <c r="AE22" i="33"/>
  <c r="F66" i="14"/>
  <c r="AE21" i="33" s="1"/>
  <c r="F65" i="14"/>
  <c r="AE20" i="33" s="1"/>
  <c r="F64" i="14"/>
  <c r="AE19" i="33" s="1"/>
  <c r="F63" i="14"/>
  <c r="AE18" i="33" s="1"/>
  <c r="E61" i="14"/>
  <c r="D61" i="14"/>
  <c r="C61" i="14"/>
  <c r="B61" i="14"/>
  <c r="F60" i="14"/>
  <c r="AE15" i="33" s="1"/>
  <c r="F59" i="14"/>
  <c r="AE14" i="33" s="1"/>
  <c r="F58" i="14"/>
  <c r="AE13" i="33" s="1"/>
  <c r="F57" i="14"/>
  <c r="AE12" i="33" s="1"/>
  <c r="E55" i="14"/>
  <c r="D55" i="14"/>
  <c r="C55" i="14"/>
  <c r="F54" i="14"/>
  <c r="AE9" i="33" s="1"/>
  <c r="F53" i="14"/>
  <c r="AE8" i="33" s="1"/>
  <c r="F52" i="14"/>
  <c r="AE7" i="33" s="1"/>
  <c r="F51" i="14"/>
  <c r="AE6" i="33" s="1"/>
  <c r="F50" i="14"/>
  <c r="AE5" i="33" s="1"/>
  <c r="F49" i="14"/>
  <c r="AE4" i="33" s="1"/>
  <c r="F76" i="15"/>
  <c r="AD31" i="33" s="1"/>
  <c r="F75" i="15"/>
  <c r="AD30" i="33" s="1"/>
  <c r="F74" i="15"/>
  <c r="AD29" i="33" s="1"/>
  <c r="F73" i="15"/>
  <c r="AD28" i="33" s="1"/>
  <c r="F72" i="15"/>
  <c r="AD27" i="33" s="1"/>
  <c r="F71" i="15"/>
  <c r="AD26" i="33" s="1"/>
  <c r="F70" i="15"/>
  <c r="AD25" i="33" s="1"/>
  <c r="F68" i="15"/>
  <c r="AD22" i="33"/>
  <c r="F66" i="15"/>
  <c r="AD21" i="33" s="1"/>
  <c r="F65" i="15"/>
  <c r="AD20" i="33" s="1"/>
  <c r="F64" i="15"/>
  <c r="AD19" i="33" s="1"/>
  <c r="F63" i="15"/>
  <c r="AD18" i="33" s="1"/>
  <c r="E61" i="15"/>
  <c r="D61" i="15"/>
  <c r="C61" i="15"/>
  <c r="B61" i="15"/>
  <c r="F60" i="15"/>
  <c r="AD15" i="33" s="1"/>
  <c r="F59" i="15"/>
  <c r="AD14" i="33" s="1"/>
  <c r="F58" i="15"/>
  <c r="AD13" i="33" s="1"/>
  <c r="F57" i="15"/>
  <c r="AD12" i="33" s="1"/>
  <c r="E55" i="15"/>
  <c r="D55" i="15"/>
  <c r="C55" i="15"/>
  <c r="F54" i="15"/>
  <c r="AD9" i="33" s="1"/>
  <c r="F53" i="15"/>
  <c r="AD8" i="33" s="1"/>
  <c r="F52" i="15"/>
  <c r="AD7" i="33" s="1"/>
  <c r="F51" i="15"/>
  <c r="AD6" i="33" s="1"/>
  <c r="F50" i="15"/>
  <c r="AD5" i="33" s="1"/>
  <c r="F49" i="15"/>
  <c r="AD4" i="33" s="1"/>
  <c r="F76" i="17"/>
  <c r="AC31" i="33" s="1"/>
  <c r="F75" i="17"/>
  <c r="AC30" i="33" s="1"/>
  <c r="F74" i="17"/>
  <c r="AC29" i="33" s="1"/>
  <c r="F73" i="17"/>
  <c r="AC28" i="33" s="1"/>
  <c r="F72" i="17"/>
  <c r="AC27" i="33" s="1"/>
  <c r="F71" i="17"/>
  <c r="AC26" i="33" s="1"/>
  <c r="F70" i="17"/>
  <c r="AC25" i="33" s="1"/>
  <c r="F68" i="17"/>
  <c r="AC22" i="33"/>
  <c r="F66" i="17"/>
  <c r="AC21" i="33" s="1"/>
  <c r="F65" i="17"/>
  <c r="AC20" i="33" s="1"/>
  <c r="F64" i="17"/>
  <c r="AC19" i="33" s="1"/>
  <c r="F63" i="17"/>
  <c r="AC18" i="33" s="1"/>
  <c r="E61" i="17"/>
  <c r="D61" i="17"/>
  <c r="C61" i="17"/>
  <c r="B61" i="17"/>
  <c r="F60" i="17"/>
  <c r="AC15" i="33" s="1"/>
  <c r="F59" i="17"/>
  <c r="AC14" i="33" s="1"/>
  <c r="F58" i="17"/>
  <c r="AC13" i="33" s="1"/>
  <c r="F57" i="17"/>
  <c r="AC12" i="33" s="1"/>
  <c r="E55" i="17"/>
  <c r="D55" i="17"/>
  <c r="C55" i="17"/>
  <c r="F54" i="17"/>
  <c r="AC9" i="33" s="1"/>
  <c r="F53" i="17"/>
  <c r="AC8" i="33" s="1"/>
  <c r="F52" i="17"/>
  <c r="AC7" i="33" s="1"/>
  <c r="F51" i="17"/>
  <c r="AC6" i="33" s="1"/>
  <c r="F50" i="17"/>
  <c r="AC5" i="33" s="1"/>
  <c r="F49" i="17"/>
  <c r="AC4" i="33" s="1"/>
  <c r="F76" i="32"/>
  <c r="AB31" i="33" s="1"/>
  <c r="F75" i="32"/>
  <c r="AB30" i="33" s="1"/>
  <c r="F74" i="32"/>
  <c r="AB29" i="33" s="1"/>
  <c r="F73" i="32"/>
  <c r="AB28" i="33" s="1"/>
  <c r="F72" i="32"/>
  <c r="AB27" i="33" s="1"/>
  <c r="F71" i="32"/>
  <c r="AB26" i="33" s="1"/>
  <c r="F70" i="32"/>
  <c r="AB25" i="33" s="1"/>
  <c r="F68" i="32"/>
  <c r="AB22" i="33"/>
  <c r="F66" i="32"/>
  <c r="AB21" i="33" s="1"/>
  <c r="F65" i="32"/>
  <c r="AB20" i="33" s="1"/>
  <c r="F64" i="32"/>
  <c r="AB19" i="33" s="1"/>
  <c r="F63" i="32"/>
  <c r="AB18" i="33" s="1"/>
  <c r="E61" i="32"/>
  <c r="D61" i="32"/>
  <c r="C61" i="32"/>
  <c r="B61" i="32"/>
  <c r="F60" i="32"/>
  <c r="AB15" i="33" s="1"/>
  <c r="F59" i="32"/>
  <c r="AB14" i="33" s="1"/>
  <c r="F58" i="32"/>
  <c r="AB13" i="33" s="1"/>
  <c r="F57" i="32"/>
  <c r="AB12" i="33" s="1"/>
  <c r="E55" i="32"/>
  <c r="D55" i="32"/>
  <c r="C55" i="32"/>
  <c r="F54" i="32"/>
  <c r="AB9" i="33" s="1"/>
  <c r="F53" i="32"/>
  <c r="AB8" i="33" s="1"/>
  <c r="F52" i="32"/>
  <c r="AB7" i="33" s="1"/>
  <c r="F51" i="32"/>
  <c r="AB6" i="33" s="1"/>
  <c r="F50" i="32"/>
  <c r="AB5" i="33" s="1"/>
  <c r="F49" i="32"/>
  <c r="AB4" i="33" s="1"/>
  <c r="F76" i="18"/>
  <c r="AA31" i="33" s="1"/>
  <c r="F75" i="18"/>
  <c r="AA30" i="33" s="1"/>
  <c r="F74" i="18"/>
  <c r="AA29" i="33" s="1"/>
  <c r="F73" i="18"/>
  <c r="AA28" i="33" s="1"/>
  <c r="F72" i="18"/>
  <c r="AA27" i="33" s="1"/>
  <c r="F71" i="18"/>
  <c r="AA26" i="33" s="1"/>
  <c r="F70" i="18"/>
  <c r="AA25" i="33" s="1"/>
  <c r="F68" i="18"/>
  <c r="AA22" i="33"/>
  <c r="F66" i="18"/>
  <c r="AA21" i="33" s="1"/>
  <c r="F65" i="18"/>
  <c r="AA20" i="33" s="1"/>
  <c r="F64" i="18"/>
  <c r="AA19" i="33" s="1"/>
  <c r="F63" i="18"/>
  <c r="AA18" i="33" s="1"/>
  <c r="E61" i="18"/>
  <c r="D61" i="18"/>
  <c r="C61" i="18"/>
  <c r="B61" i="18"/>
  <c r="F60" i="18"/>
  <c r="AA15" i="33" s="1"/>
  <c r="F59" i="18"/>
  <c r="AA14" i="33" s="1"/>
  <c r="F58" i="18"/>
  <c r="AA13" i="33" s="1"/>
  <c r="F57" i="18"/>
  <c r="AA12" i="33" s="1"/>
  <c r="E55" i="18"/>
  <c r="D55" i="18"/>
  <c r="C55" i="18"/>
  <c r="F54" i="18"/>
  <c r="AA9" i="33" s="1"/>
  <c r="F53" i="18"/>
  <c r="AA8" i="33" s="1"/>
  <c r="F52" i="18"/>
  <c r="AA7" i="33" s="1"/>
  <c r="F51" i="18"/>
  <c r="AA6" i="33" s="1"/>
  <c r="F50" i="18"/>
  <c r="AA5" i="33" s="1"/>
  <c r="F49" i="18"/>
  <c r="AA4" i="33" s="1"/>
  <c r="F76" i="19"/>
  <c r="Z31" i="33" s="1"/>
  <c r="F75" i="19"/>
  <c r="Z30" i="33" s="1"/>
  <c r="F74" i="19"/>
  <c r="Z29" i="33" s="1"/>
  <c r="F73" i="19"/>
  <c r="Z28" i="33" s="1"/>
  <c r="F72" i="19"/>
  <c r="Z27" i="33" s="1"/>
  <c r="F71" i="19"/>
  <c r="Z26" i="33" s="1"/>
  <c r="F70" i="19"/>
  <c r="Z25" i="33" s="1"/>
  <c r="F68" i="19"/>
  <c r="Z22" i="33"/>
  <c r="F66" i="19"/>
  <c r="Z21" i="33" s="1"/>
  <c r="F65" i="19"/>
  <c r="Z20" i="33" s="1"/>
  <c r="F64" i="19"/>
  <c r="Z19" i="33" s="1"/>
  <c r="F63" i="19"/>
  <c r="Z18" i="33" s="1"/>
  <c r="E61" i="19"/>
  <c r="D61" i="19"/>
  <c r="C61" i="19"/>
  <c r="B61" i="19"/>
  <c r="F60" i="19"/>
  <c r="Z15" i="33" s="1"/>
  <c r="F59" i="19"/>
  <c r="Z14" i="33" s="1"/>
  <c r="F58" i="19"/>
  <c r="Z13" i="33" s="1"/>
  <c r="F57" i="19"/>
  <c r="Z12" i="33" s="1"/>
  <c r="E55" i="19"/>
  <c r="D55" i="19"/>
  <c r="C55" i="19"/>
  <c r="F54" i="19"/>
  <c r="Z9" i="33" s="1"/>
  <c r="F53" i="19"/>
  <c r="Z8" i="33" s="1"/>
  <c r="F52" i="19"/>
  <c r="Z7" i="33" s="1"/>
  <c r="F51" i="19"/>
  <c r="Z6" i="33" s="1"/>
  <c r="F50" i="19"/>
  <c r="Z5" i="33" s="1"/>
  <c r="F49" i="19"/>
  <c r="Z4" i="33" s="1"/>
  <c r="F76" i="20"/>
  <c r="Y31" i="33" s="1"/>
  <c r="F75" i="20"/>
  <c r="Y30" i="33" s="1"/>
  <c r="F74" i="20"/>
  <c r="Y29" i="33" s="1"/>
  <c r="F73" i="20"/>
  <c r="Y28" i="33" s="1"/>
  <c r="F72" i="20"/>
  <c r="Y27" i="33" s="1"/>
  <c r="F71" i="20"/>
  <c r="Y26" i="33" s="1"/>
  <c r="F70" i="20"/>
  <c r="Y25" i="33" s="1"/>
  <c r="F68" i="20"/>
  <c r="Y22" i="33"/>
  <c r="F66" i="20"/>
  <c r="Y21" i="33" s="1"/>
  <c r="F65" i="20"/>
  <c r="Y20" i="33" s="1"/>
  <c r="F64" i="20"/>
  <c r="Y19" i="33" s="1"/>
  <c r="F63" i="20"/>
  <c r="Y18" i="33" s="1"/>
  <c r="E61" i="20"/>
  <c r="D61" i="20"/>
  <c r="C61" i="20"/>
  <c r="B61" i="20"/>
  <c r="F60" i="20"/>
  <c r="Y15" i="33" s="1"/>
  <c r="F59" i="20"/>
  <c r="Y14" i="33" s="1"/>
  <c r="F58" i="20"/>
  <c r="Y13" i="33" s="1"/>
  <c r="F57" i="20"/>
  <c r="Y12" i="33" s="1"/>
  <c r="E55" i="20"/>
  <c r="D55" i="20"/>
  <c r="C55" i="20"/>
  <c r="F54" i="20"/>
  <c r="Y9" i="33" s="1"/>
  <c r="F53" i="20"/>
  <c r="Y8" i="33" s="1"/>
  <c r="F52" i="20"/>
  <c r="Y7" i="33" s="1"/>
  <c r="F51" i="20"/>
  <c r="Y6" i="33" s="1"/>
  <c r="F50" i="20"/>
  <c r="Y5" i="33" s="1"/>
  <c r="F49" i="20"/>
  <c r="Y4" i="33" s="1"/>
  <c r="F76" i="21"/>
  <c r="X31" i="33" s="1"/>
  <c r="F75" i="21"/>
  <c r="X30" i="33" s="1"/>
  <c r="F74" i="21"/>
  <c r="X29" i="33" s="1"/>
  <c r="F73" i="21"/>
  <c r="X28" i="33" s="1"/>
  <c r="F72" i="21"/>
  <c r="X27" i="33" s="1"/>
  <c r="F71" i="21"/>
  <c r="X26" i="33" s="1"/>
  <c r="F70" i="21"/>
  <c r="X25" i="33" s="1"/>
  <c r="F68" i="21"/>
  <c r="X22" i="33"/>
  <c r="F66" i="21"/>
  <c r="X21" i="33" s="1"/>
  <c r="F65" i="21"/>
  <c r="X20" i="33" s="1"/>
  <c r="F64" i="21"/>
  <c r="X19" i="33" s="1"/>
  <c r="F63" i="21"/>
  <c r="X18" i="33" s="1"/>
  <c r="E61" i="21"/>
  <c r="D61" i="21"/>
  <c r="C61" i="21"/>
  <c r="B61" i="21"/>
  <c r="F60" i="21"/>
  <c r="X15" i="33" s="1"/>
  <c r="F59" i="21"/>
  <c r="X14" i="33" s="1"/>
  <c r="F58" i="21"/>
  <c r="X13" i="33" s="1"/>
  <c r="F57" i="21"/>
  <c r="X12" i="33" s="1"/>
  <c r="E55" i="21"/>
  <c r="D55" i="21"/>
  <c r="C55" i="21"/>
  <c r="F54" i="21"/>
  <c r="X9" i="33" s="1"/>
  <c r="F53" i="21"/>
  <c r="X8" i="33" s="1"/>
  <c r="F52" i="21"/>
  <c r="X7" i="33" s="1"/>
  <c r="F51" i="21"/>
  <c r="X6" i="33" s="1"/>
  <c r="F50" i="21"/>
  <c r="X5" i="33" s="1"/>
  <c r="F49" i="21"/>
  <c r="X4" i="33" s="1"/>
  <c r="F76" i="22"/>
  <c r="W31" i="33" s="1"/>
  <c r="F75" i="22"/>
  <c r="W30" i="33" s="1"/>
  <c r="F74" i="22"/>
  <c r="W29" i="33" s="1"/>
  <c r="F73" i="22"/>
  <c r="W28" i="33" s="1"/>
  <c r="F72" i="22"/>
  <c r="W27" i="33" s="1"/>
  <c r="F71" i="22"/>
  <c r="W26" i="33" s="1"/>
  <c r="F70" i="22"/>
  <c r="W25" i="33" s="1"/>
  <c r="F68" i="22"/>
  <c r="W22" i="33"/>
  <c r="F66" i="22"/>
  <c r="W21" i="33" s="1"/>
  <c r="F65" i="22"/>
  <c r="W20" i="33" s="1"/>
  <c r="F64" i="22"/>
  <c r="W19" i="33" s="1"/>
  <c r="F63" i="22"/>
  <c r="W18" i="33" s="1"/>
  <c r="E61" i="22"/>
  <c r="D61" i="22"/>
  <c r="C61" i="22"/>
  <c r="B61" i="22"/>
  <c r="F60" i="22"/>
  <c r="W15" i="33" s="1"/>
  <c r="F59" i="22"/>
  <c r="W14" i="33" s="1"/>
  <c r="F58" i="22"/>
  <c r="W13" i="33" s="1"/>
  <c r="F57" i="22"/>
  <c r="W12" i="33" s="1"/>
  <c r="E55" i="22"/>
  <c r="D55" i="22"/>
  <c r="C55" i="22"/>
  <c r="F54" i="22"/>
  <c r="W9" i="33" s="1"/>
  <c r="F53" i="22"/>
  <c r="W8" i="33" s="1"/>
  <c r="F52" i="22"/>
  <c r="W7" i="33" s="1"/>
  <c r="F51" i="22"/>
  <c r="W6" i="33" s="1"/>
  <c r="F50" i="22"/>
  <c r="W5" i="33" s="1"/>
  <c r="F49" i="22"/>
  <c r="W4" i="33" s="1"/>
  <c r="F76" i="23"/>
  <c r="V31" i="33" s="1"/>
  <c r="F75" i="23"/>
  <c r="V30" i="33" s="1"/>
  <c r="F74" i="23"/>
  <c r="V29" i="33" s="1"/>
  <c r="F73" i="23"/>
  <c r="V28" i="33" s="1"/>
  <c r="F72" i="23"/>
  <c r="V27" i="33" s="1"/>
  <c r="F71" i="23"/>
  <c r="V26" i="33" s="1"/>
  <c r="F70" i="23"/>
  <c r="V25" i="33" s="1"/>
  <c r="F68" i="23"/>
  <c r="V22" i="33"/>
  <c r="F66" i="23"/>
  <c r="V21" i="33" s="1"/>
  <c r="F65" i="23"/>
  <c r="V20" i="33" s="1"/>
  <c r="F64" i="23"/>
  <c r="V19" i="33" s="1"/>
  <c r="F63" i="23"/>
  <c r="V18" i="33" s="1"/>
  <c r="E61" i="23"/>
  <c r="D61" i="23"/>
  <c r="C61" i="23"/>
  <c r="B61" i="23"/>
  <c r="F60" i="23"/>
  <c r="V15" i="33" s="1"/>
  <c r="F59" i="23"/>
  <c r="V14" i="33" s="1"/>
  <c r="F58" i="23"/>
  <c r="V13" i="33" s="1"/>
  <c r="F57" i="23"/>
  <c r="V12" i="33" s="1"/>
  <c r="E55" i="23"/>
  <c r="D55" i="23"/>
  <c r="C55" i="23"/>
  <c r="F54" i="23"/>
  <c r="V9" i="33" s="1"/>
  <c r="F53" i="23"/>
  <c r="V8" i="33" s="1"/>
  <c r="F52" i="23"/>
  <c r="V7" i="33" s="1"/>
  <c r="F51" i="23"/>
  <c r="V6" i="33" s="1"/>
  <c r="F50" i="23"/>
  <c r="V5" i="33" s="1"/>
  <c r="F49" i="23"/>
  <c r="V4" i="33" s="1"/>
  <c r="F76" i="24"/>
  <c r="U31" i="33" s="1"/>
  <c r="F75" i="24"/>
  <c r="U30" i="33" s="1"/>
  <c r="F74" i="24"/>
  <c r="U29" i="33" s="1"/>
  <c r="F73" i="24"/>
  <c r="U28" i="33" s="1"/>
  <c r="F72" i="24"/>
  <c r="U27" i="33" s="1"/>
  <c r="F71" i="24"/>
  <c r="U26" i="33" s="1"/>
  <c r="F70" i="24"/>
  <c r="U25" i="33" s="1"/>
  <c r="F68" i="24"/>
  <c r="U22" i="33"/>
  <c r="F66" i="24"/>
  <c r="U21" i="33" s="1"/>
  <c r="F65" i="24"/>
  <c r="U20" i="33" s="1"/>
  <c r="F64" i="24"/>
  <c r="U19" i="33" s="1"/>
  <c r="F63" i="24"/>
  <c r="U18" i="33" s="1"/>
  <c r="E61" i="24"/>
  <c r="D61" i="24"/>
  <c r="C61" i="24"/>
  <c r="B61" i="24"/>
  <c r="F60" i="24"/>
  <c r="U15" i="33" s="1"/>
  <c r="F59" i="24"/>
  <c r="U14" i="33" s="1"/>
  <c r="F58" i="24"/>
  <c r="U13" i="33" s="1"/>
  <c r="F57" i="24"/>
  <c r="U12" i="33" s="1"/>
  <c r="E55" i="24"/>
  <c r="D55" i="24"/>
  <c r="C55" i="24"/>
  <c r="F54" i="24"/>
  <c r="U9" i="33" s="1"/>
  <c r="F53" i="24"/>
  <c r="U8" i="33" s="1"/>
  <c r="F52" i="24"/>
  <c r="U7" i="33" s="1"/>
  <c r="F51" i="24"/>
  <c r="U6" i="33" s="1"/>
  <c r="F50" i="24"/>
  <c r="U5" i="33" s="1"/>
  <c r="F49" i="24"/>
  <c r="U4" i="33" s="1"/>
  <c r="F76" i="25"/>
  <c r="T31" i="33" s="1"/>
  <c r="F75" i="25"/>
  <c r="T30" i="33" s="1"/>
  <c r="F74" i="25"/>
  <c r="T29" i="33" s="1"/>
  <c r="F73" i="25"/>
  <c r="T28" i="33" s="1"/>
  <c r="F72" i="25"/>
  <c r="T27" i="33" s="1"/>
  <c r="F71" i="25"/>
  <c r="T26" i="33" s="1"/>
  <c r="F70" i="25"/>
  <c r="T25" i="33" s="1"/>
  <c r="F68" i="25"/>
  <c r="T22" i="33"/>
  <c r="F66" i="25"/>
  <c r="T21" i="33" s="1"/>
  <c r="F65" i="25"/>
  <c r="T20" i="33" s="1"/>
  <c r="F64" i="25"/>
  <c r="T19" i="33" s="1"/>
  <c r="F63" i="25"/>
  <c r="T18" i="33" s="1"/>
  <c r="E61" i="25"/>
  <c r="D61" i="25"/>
  <c r="C61" i="25"/>
  <c r="B61" i="25"/>
  <c r="F60" i="25"/>
  <c r="T15" i="33" s="1"/>
  <c r="F59" i="25"/>
  <c r="T14" i="33" s="1"/>
  <c r="F58" i="25"/>
  <c r="T13" i="33" s="1"/>
  <c r="F57" i="25"/>
  <c r="T12" i="33" s="1"/>
  <c r="E55" i="25"/>
  <c r="D55" i="25"/>
  <c r="C55" i="25"/>
  <c r="F54" i="25"/>
  <c r="T9" i="33" s="1"/>
  <c r="F53" i="25"/>
  <c r="T8" i="33" s="1"/>
  <c r="F52" i="25"/>
  <c r="T7" i="33" s="1"/>
  <c r="F51" i="25"/>
  <c r="T6" i="33" s="1"/>
  <c r="F50" i="25"/>
  <c r="T5" i="33" s="1"/>
  <c r="F49" i="25"/>
  <c r="T4" i="33" s="1"/>
  <c r="F76" i="26"/>
  <c r="S31" i="33" s="1"/>
  <c r="F75" i="26"/>
  <c r="S30" i="33" s="1"/>
  <c r="F74" i="26"/>
  <c r="S29" i="33" s="1"/>
  <c r="F73" i="26"/>
  <c r="S28" i="33" s="1"/>
  <c r="F72" i="26"/>
  <c r="S27" i="33" s="1"/>
  <c r="F71" i="26"/>
  <c r="S26" i="33" s="1"/>
  <c r="F70" i="26"/>
  <c r="S25" i="33" s="1"/>
  <c r="F68" i="26"/>
  <c r="S22" i="33"/>
  <c r="F66" i="26"/>
  <c r="S21" i="33" s="1"/>
  <c r="F65" i="26"/>
  <c r="S20" i="33" s="1"/>
  <c r="F64" i="26"/>
  <c r="S19" i="33" s="1"/>
  <c r="F63" i="26"/>
  <c r="S18" i="33" s="1"/>
  <c r="E61" i="26"/>
  <c r="D61" i="26"/>
  <c r="C61" i="26"/>
  <c r="B61" i="26"/>
  <c r="F60" i="26"/>
  <c r="S15" i="33" s="1"/>
  <c r="F59" i="26"/>
  <c r="S14" i="33" s="1"/>
  <c r="F58" i="26"/>
  <c r="S13" i="33" s="1"/>
  <c r="F57" i="26"/>
  <c r="S12" i="33" s="1"/>
  <c r="E55" i="26"/>
  <c r="D55" i="26"/>
  <c r="C55" i="26"/>
  <c r="F54" i="26"/>
  <c r="S9" i="33" s="1"/>
  <c r="F53" i="26"/>
  <c r="S8" i="33" s="1"/>
  <c r="F52" i="26"/>
  <c r="S7" i="33" s="1"/>
  <c r="F51" i="26"/>
  <c r="S6" i="33" s="1"/>
  <c r="F50" i="26"/>
  <c r="S5" i="33" s="1"/>
  <c r="F49" i="26"/>
  <c r="S4" i="33" s="1"/>
  <c r="F76" i="27"/>
  <c r="R31" i="33" s="1"/>
  <c r="F75" i="27"/>
  <c r="R30" i="33" s="1"/>
  <c r="F74" i="27"/>
  <c r="R29" i="33" s="1"/>
  <c r="F73" i="27"/>
  <c r="R28" i="33" s="1"/>
  <c r="F72" i="27"/>
  <c r="R27" i="33" s="1"/>
  <c r="F71" i="27"/>
  <c r="R26" i="33" s="1"/>
  <c r="F70" i="27"/>
  <c r="R25" i="33" s="1"/>
  <c r="F68" i="27"/>
  <c r="R22" i="33"/>
  <c r="F66" i="27"/>
  <c r="R21" i="33" s="1"/>
  <c r="F65" i="27"/>
  <c r="R20" i="33" s="1"/>
  <c r="F64" i="27"/>
  <c r="R19" i="33" s="1"/>
  <c r="F63" i="27"/>
  <c r="R18" i="33" s="1"/>
  <c r="E61" i="27"/>
  <c r="D61" i="27"/>
  <c r="C61" i="27"/>
  <c r="B61" i="27"/>
  <c r="F60" i="27"/>
  <c r="R15" i="33" s="1"/>
  <c r="F59" i="27"/>
  <c r="R14" i="33" s="1"/>
  <c r="F58" i="27"/>
  <c r="R13" i="33" s="1"/>
  <c r="F57" i="27"/>
  <c r="R12" i="33" s="1"/>
  <c r="E55" i="27"/>
  <c r="D55" i="27"/>
  <c r="C55" i="27"/>
  <c r="F54" i="27"/>
  <c r="R9" i="33" s="1"/>
  <c r="F53" i="27"/>
  <c r="R8" i="33" s="1"/>
  <c r="F52" i="27"/>
  <c r="R7" i="33" s="1"/>
  <c r="F51" i="27"/>
  <c r="R6" i="33" s="1"/>
  <c r="F50" i="27"/>
  <c r="R5" i="33" s="1"/>
  <c r="F49" i="27"/>
  <c r="R4" i="33" s="1"/>
  <c r="F76" i="28"/>
  <c r="Q31" i="33" s="1"/>
  <c r="F75" i="28"/>
  <c r="Q30" i="33" s="1"/>
  <c r="F74" i="28"/>
  <c r="Q29" i="33" s="1"/>
  <c r="F73" i="28"/>
  <c r="Q28" i="33" s="1"/>
  <c r="F72" i="28"/>
  <c r="Q27" i="33" s="1"/>
  <c r="F71" i="28"/>
  <c r="Q26" i="33" s="1"/>
  <c r="F70" i="28"/>
  <c r="Q25" i="33" s="1"/>
  <c r="F68" i="28"/>
  <c r="Q22" i="33"/>
  <c r="F66" i="28"/>
  <c r="Q21" i="33" s="1"/>
  <c r="F65" i="28"/>
  <c r="Q20" i="33" s="1"/>
  <c r="F64" i="28"/>
  <c r="Q19" i="33" s="1"/>
  <c r="F63" i="28"/>
  <c r="Q18" i="33" s="1"/>
  <c r="E61" i="28"/>
  <c r="D61" i="28"/>
  <c r="C61" i="28"/>
  <c r="B61" i="28"/>
  <c r="F60" i="28"/>
  <c r="Q15" i="33" s="1"/>
  <c r="F59" i="28"/>
  <c r="Q14" i="33" s="1"/>
  <c r="F58" i="28"/>
  <c r="Q13" i="33" s="1"/>
  <c r="F57" i="28"/>
  <c r="Q12" i="33" s="1"/>
  <c r="E55" i="28"/>
  <c r="D55" i="28"/>
  <c r="C55" i="28"/>
  <c r="F54" i="28"/>
  <c r="Q9" i="33" s="1"/>
  <c r="F53" i="28"/>
  <c r="Q8" i="33" s="1"/>
  <c r="F52" i="28"/>
  <c r="Q7" i="33" s="1"/>
  <c r="F51" i="28"/>
  <c r="Q6" i="33" s="1"/>
  <c r="F50" i="28"/>
  <c r="Q5" i="33" s="1"/>
  <c r="F49" i="28"/>
  <c r="Q4" i="33" s="1"/>
  <c r="F76" i="29"/>
  <c r="P31" i="33" s="1"/>
  <c r="F75" i="29"/>
  <c r="P30" i="33" s="1"/>
  <c r="F74" i="29"/>
  <c r="P29" i="33" s="1"/>
  <c r="F73" i="29"/>
  <c r="P28" i="33" s="1"/>
  <c r="F72" i="29"/>
  <c r="P27" i="33" s="1"/>
  <c r="F71" i="29"/>
  <c r="P26" i="33" s="1"/>
  <c r="F70" i="29"/>
  <c r="P25" i="33" s="1"/>
  <c r="F68" i="29"/>
  <c r="P22" i="33"/>
  <c r="F66" i="29"/>
  <c r="P21" i="33" s="1"/>
  <c r="F65" i="29"/>
  <c r="P20" i="33" s="1"/>
  <c r="F64" i="29"/>
  <c r="P19" i="33" s="1"/>
  <c r="F63" i="29"/>
  <c r="P18" i="33" s="1"/>
  <c r="E61" i="29"/>
  <c r="D61" i="29"/>
  <c r="C61" i="29"/>
  <c r="B61" i="29"/>
  <c r="F60" i="29"/>
  <c r="P15" i="33" s="1"/>
  <c r="F59" i="29"/>
  <c r="P14" i="33" s="1"/>
  <c r="F58" i="29"/>
  <c r="P13" i="33" s="1"/>
  <c r="F57" i="29"/>
  <c r="P12" i="33" s="1"/>
  <c r="E55" i="29"/>
  <c r="D55" i="29"/>
  <c r="C55" i="29"/>
  <c r="F54" i="29"/>
  <c r="P9" i="33" s="1"/>
  <c r="F53" i="29"/>
  <c r="P8" i="33" s="1"/>
  <c r="F52" i="29"/>
  <c r="P7" i="33" s="1"/>
  <c r="F51" i="29"/>
  <c r="P6" i="33" s="1"/>
  <c r="F50" i="29"/>
  <c r="P5" i="33" s="1"/>
  <c r="F49" i="29"/>
  <c r="P4" i="33" s="1"/>
  <c r="F76" i="30"/>
  <c r="O31" i="33" s="1"/>
  <c r="F75" i="30"/>
  <c r="O30" i="33" s="1"/>
  <c r="F74" i="30"/>
  <c r="O29" i="33" s="1"/>
  <c r="F73" i="30"/>
  <c r="O28" i="33" s="1"/>
  <c r="F72" i="30"/>
  <c r="O27" i="33" s="1"/>
  <c r="F71" i="30"/>
  <c r="O26" i="33" s="1"/>
  <c r="F70" i="30"/>
  <c r="O25" i="33" s="1"/>
  <c r="F68" i="30"/>
  <c r="O22" i="33"/>
  <c r="F66" i="30"/>
  <c r="O21" i="33" s="1"/>
  <c r="F65" i="30"/>
  <c r="O20" i="33" s="1"/>
  <c r="F64" i="30"/>
  <c r="O19" i="33" s="1"/>
  <c r="F63" i="30"/>
  <c r="O18" i="33" s="1"/>
  <c r="E61" i="30"/>
  <c r="D61" i="30"/>
  <c r="C61" i="30"/>
  <c r="B61" i="30"/>
  <c r="F60" i="30"/>
  <c r="O15" i="33" s="1"/>
  <c r="F59" i="30"/>
  <c r="O14" i="33" s="1"/>
  <c r="F58" i="30"/>
  <c r="O13" i="33" s="1"/>
  <c r="F57" i="30"/>
  <c r="O12" i="33" s="1"/>
  <c r="E55" i="30"/>
  <c r="D55" i="30"/>
  <c r="C55" i="30"/>
  <c r="F54" i="30"/>
  <c r="O9" i="33" s="1"/>
  <c r="F53" i="30"/>
  <c r="O8" i="33" s="1"/>
  <c r="F52" i="30"/>
  <c r="O7" i="33" s="1"/>
  <c r="F51" i="30"/>
  <c r="O6" i="33" s="1"/>
  <c r="F50" i="30"/>
  <c r="O5" i="33" s="1"/>
  <c r="F49" i="30"/>
  <c r="O4" i="33" s="1"/>
  <c r="F76" i="31"/>
  <c r="N31" i="33" s="1"/>
  <c r="F75" i="31"/>
  <c r="N30" i="33" s="1"/>
  <c r="F74" i="31"/>
  <c r="N29" i="33" s="1"/>
  <c r="F73" i="31"/>
  <c r="N28" i="33" s="1"/>
  <c r="F72" i="31"/>
  <c r="N27" i="33" s="1"/>
  <c r="F71" i="31"/>
  <c r="N26" i="33" s="1"/>
  <c r="F70" i="31"/>
  <c r="N25" i="33" s="1"/>
  <c r="F68" i="31"/>
  <c r="N22" i="33"/>
  <c r="F66" i="31"/>
  <c r="N21" i="33" s="1"/>
  <c r="F65" i="31"/>
  <c r="N20" i="33" s="1"/>
  <c r="F64" i="31"/>
  <c r="N19" i="33" s="1"/>
  <c r="F63" i="31"/>
  <c r="N18" i="33" s="1"/>
  <c r="E61" i="31"/>
  <c r="D61" i="31"/>
  <c r="C61" i="31"/>
  <c r="B61" i="31"/>
  <c r="F60" i="31"/>
  <c r="N15" i="33" s="1"/>
  <c r="F59" i="31"/>
  <c r="N14" i="33" s="1"/>
  <c r="F58" i="31"/>
  <c r="N13" i="33" s="1"/>
  <c r="F57" i="31"/>
  <c r="N12" i="33" s="1"/>
  <c r="E55" i="31"/>
  <c r="D55" i="31"/>
  <c r="C55" i="31"/>
  <c r="F54" i="31"/>
  <c r="N9" i="33" s="1"/>
  <c r="F53" i="31"/>
  <c r="N8" i="33" s="1"/>
  <c r="F52" i="31"/>
  <c r="N7" i="33" s="1"/>
  <c r="F51" i="31"/>
  <c r="N6" i="33" s="1"/>
  <c r="F50" i="31"/>
  <c r="N5" i="33" s="1"/>
  <c r="F49" i="31"/>
  <c r="N4" i="33" s="1"/>
  <c r="F76" i="16"/>
  <c r="M31" i="33" s="1"/>
  <c r="F75" i="16"/>
  <c r="M30" i="33" s="1"/>
  <c r="F74" i="16"/>
  <c r="M29" i="33" s="1"/>
  <c r="F73" i="16"/>
  <c r="M28" i="33" s="1"/>
  <c r="F72" i="16"/>
  <c r="M27" i="33" s="1"/>
  <c r="F71" i="16"/>
  <c r="M26" i="33" s="1"/>
  <c r="F70" i="16"/>
  <c r="M25" i="33" s="1"/>
  <c r="F68" i="16"/>
  <c r="M22" i="33"/>
  <c r="F66" i="16"/>
  <c r="M21" i="33" s="1"/>
  <c r="F65" i="16"/>
  <c r="M20" i="33" s="1"/>
  <c r="F64" i="16"/>
  <c r="M19" i="33" s="1"/>
  <c r="F63" i="16"/>
  <c r="M18" i="33" s="1"/>
  <c r="E61" i="16"/>
  <c r="D61" i="16"/>
  <c r="C61" i="16"/>
  <c r="B61" i="16"/>
  <c r="F60" i="16"/>
  <c r="M15" i="33" s="1"/>
  <c r="F59" i="16"/>
  <c r="M14" i="33" s="1"/>
  <c r="F58" i="16"/>
  <c r="M13" i="33" s="1"/>
  <c r="F57" i="16"/>
  <c r="M12" i="33" s="1"/>
  <c r="E55" i="16"/>
  <c r="D55" i="16"/>
  <c r="C55" i="16"/>
  <c r="F54" i="16"/>
  <c r="M9" i="33" s="1"/>
  <c r="F53" i="16"/>
  <c r="M8" i="33" s="1"/>
  <c r="F52" i="16"/>
  <c r="M7" i="33" s="1"/>
  <c r="F51" i="16"/>
  <c r="M6" i="33" s="1"/>
  <c r="F50" i="16"/>
  <c r="M5" i="33" s="1"/>
  <c r="F49" i="16"/>
  <c r="M4" i="33" s="1"/>
  <c r="F76" i="6"/>
  <c r="L31" i="33" s="1"/>
  <c r="F75" i="6"/>
  <c r="L30" i="33" s="1"/>
  <c r="F74" i="6"/>
  <c r="L29" i="33" s="1"/>
  <c r="F73" i="6"/>
  <c r="L28" i="33" s="1"/>
  <c r="F72" i="6"/>
  <c r="L27" i="33" s="1"/>
  <c r="F71" i="6"/>
  <c r="L26" i="33" s="1"/>
  <c r="F70" i="6"/>
  <c r="L25" i="33" s="1"/>
  <c r="F68" i="6"/>
  <c r="L22" i="33"/>
  <c r="F66" i="6"/>
  <c r="L21" i="33" s="1"/>
  <c r="F65" i="6"/>
  <c r="L20" i="33" s="1"/>
  <c r="F64" i="6"/>
  <c r="L19" i="33" s="1"/>
  <c r="F63" i="6"/>
  <c r="L18" i="33" s="1"/>
  <c r="E61" i="6"/>
  <c r="D61" i="6"/>
  <c r="C61" i="6"/>
  <c r="B61" i="6"/>
  <c r="F60" i="6"/>
  <c r="L15" i="33" s="1"/>
  <c r="F59" i="6"/>
  <c r="L14" i="33" s="1"/>
  <c r="F58" i="6"/>
  <c r="L13" i="33" s="1"/>
  <c r="F57" i="6"/>
  <c r="L12" i="33" s="1"/>
  <c r="E55" i="6"/>
  <c r="D55" i="6"/>
  <c r="C55" i="6"/>
  <c r="F54" i="6"/>
  <c r="L9" i="33" s="1"/>
  <c r="F53" i="6"/>
  <c r="L8" i="33" s="1"/>
  <c r="F52" i="6"/>
  <c r="L7" i="33" s="1"/>
  <c r="F51" i="6"/>
  <c r="L6" i="33" s="1"/>
  <c r="F50" i="6"/>
  <c r="L5" i="33" s="1"/>
  <c r="F49" i="6"/>
  <c r="L4" i="33" s="1"/>
  <c r="F76" i="9"/>
  <c r="K31" i="33" s="1"/>
  <c r="F75" i="9"/>
  <c r="K30" i="33" s="1"/>
  <c r="F74" i="9"/>
  <c r="K29" i="33" s="1"/>
  <c r="F73" i="9"/>
  <c r="K28" i="33" s="1"/>
  <c r="F72" i="9"/>
  <c r="K27" i="33" s="1"/>
  <c r="F71" i="9"/>
  <c r="K26" i="33" s="1"/>
  <c r="F70" i="9"/>
  <c r="K25" i="33" s="1"/>
  <c r="F68" i="9"/>
  <c r="K22" i="33"/>
  <c r="F66" i="9"/>
  <c r="K21" i="33" s="1"/>
  <c r="F65" i="9"/>
  <c r="K20" i="33" s="1"/>
  <c r="F64" i="9"/>
  <c r="K19" i="33" s="1"/>
  <c r="F63" i="9"/>
  <c r="K18" i="33" s="1"/>
  <c r="E61" i="9"/>
  <c r="D61" i="9"/>
  <c r="C61" i="9"/>
  <c r="B61" i="9"/>
  <c r="F60" i="9"/>
  <c r="K15" i="33" s="1"/>
  <c r="F59" i="9"/>
  <c r="K14" i="33" s="1"/>
  <c r="F58" i="9"/>
  <c r="K13" i="33" s="1"/>
  <c r="F57" i="9"/>
  <c r="K12" i="33" s="1"/>
  <c r="E55" i="9"/>
  <c r="D55" i="9"/>
  <c r="C55" i="9"/>
  <c r="F54" i="9"/>
  <c r="K9" i="33" s="1"/>
  <c r="F53" i="9"/>
  <c r="K8" i="33" s="1"/>
  <c r="F52" i="9"/>
  <c r="K7" i="33" s="1"/>
  <c r="F51" i="9"/>
  <c r="K6" i="33" s="1"/>
  <c r="F50" i="9"/>
  <c r="K5" i="33" s="1"/>
  <c r="F49" i="9"/>
  <c r="K4" i="33" s="1"/>
  <c r="F76" i="8"/>
  <c r="J31" i="33" s="1"/>
  <c r="F75" i="8"/>
  <c r="J30" i="33" s="1"/>
  <c r="F74" i="8"/>
  <c r="J29" i="33" s="1"/>
  <c r="F73" i="8"/>
  <c r="J28" i="33" s="1"/>
  <c r="F72" i="8"/>
  <c r="J27" i="33" s="1"/>
  <c r="F71" i="8"/>
  <c r="J26" i="33" s="1"/>
  <c r="F70" i="8"/>
  <c r="J25" i="33" s="1"/>
  <c r="F68" i="8"/>
  <c r="J22" i="33"/>
  <c r="F66" i="8"/>
  <c r="J21" i="33" s="1"/>
  <c r="F65" i="8"/>
  <c r="J20" i="33" s="1"/>
  <c r="F64" i="8"/>
  <c r="J19" i="33" s="1"/>
  <c r="F63" i="8"/>
  <c r="J18" i="33" s="1"/>
  <c r="E61" i="8"/>
  <c r="D61" i="8"/>
  <c r="C61" i="8"/>
  <c r="B61" i="8"/>
  <c r="F60" i="8"/>
  <c r="J15" i="33" s="1"/>
  <c r="F59" i="8"/>
  <c r="J14" i="33" s="1"/>
  <c r="F58" i="8"/>
  <c r="J13" i="33" s="1"/>
  <c r="F57" i="8"/>
  <c r="J12" i="33" s="1"/>
  <c r="E55" i="8"/>
  <c r="D55" i="8"/>
  <c r="C55" i="8"/>
  <c r="F54" i="8"/>
  <c r="J9" i="33" s="1"/>
  <c r="F53" i="8"/>
  <c r="J8" i="33" s="1"/>
  <c r="F52" i="8"/>
  <c r="J7" i="33" s="1"/>
  <c r="F51" i="8"/>
  <c r="J6" i="33" s="1"/>
  <c r="F50" i="8"/>
  <c r="J5" i="33" s="1"/>
  <c r="F49" i="8"/>
  <c r="J4" i="33" s="1"/>
  <c r="F76" i="5"/>
  <c r="I31" i="33" s="1"/>
  <c r="F75" i="5"/>
  <c r="I30" i="33" s="1"/>
  <c r="F74" i="5"/>
  <c r="I29" i="33" s="1"/>
  <c r="F73" i="5"/>
  <c r="I28" i="33" s="1"/>
  <c r="F72" i="5"/>
  <c r="I27" i="33" s="1"/>
  <c r="F71" i="5"/>
  <c r="I26" i="33" s="1"/>
  <c r="F70" i="5"/>
  <c r="I25" i="33" s="1"/>
  <c r="F68" i="5"/>
  <c r="I22" i="33"/>
  <c r="F66" i="5"/>
  <c r="I21" i="33" s="1"/>
  <c r="F65" i="5"/>
  <c r="I20" i="33" s="1"/>
  <c r="F64" i="5"/>
  <c r="I19" i="33" s="1"/>
  <c r="F63" i="5"/>
  <c r="I18" i="33" s="1"/>
  <c r="E61" i="5"/>
  <c r="D61" i="5"/>
  <c r="C61" i="5"/>
  <c r="B61" i="5"/>
  <c r="F60" i="5"/>
  <c r="I15" i="33" s="1"/>
  <c r="F59" i="5"/>
  <c r="I14" i="33" s="1"/>
  <c r="F58" i="5"/>
  <c r="I13" i="33" s="1"/>
  <c r="F57" i="5"/>
  <c r="I12" i="33" s="1"/>
  <c r="E55" i="5"/>
  <c r="D55" i="5"/>
  <c r="C55" i="5"/>
  <c r="F54" i="5"/>
  <c r="I9" i="33" s="1"/>
  <c r="F53" i="5"/>
  <c r="I8" i="33" s="1"/>
  <c r="F52" i="5"/>
  <c r="I7" i="33" s="1"/>
  <c r="F51" i="5"/>
  <c r="I6" i="33" s="1"/>
  <c r="F50" i="5"/>
  <c r="I5" i="33" s="1"/>
  <c r="F49" i="5"/>
  <c r="I4" i="33" s="1"/>
  <c r="F76" i="4"/>
  <c r="H31" i="33" s="1"/>
  <c r="F75" i="4"/>
  <c r="H30" i="33" s="1"/>
  <c r="F74" i="4"/>
  <c r="H29" i="33" s="1"/>
  <c r="F73" i="4"/>
  <c r="H28" i="33" s="1"/>
  <c r="F72" i="4"/>
  <c r="H27" i="33" s="1"/>
  <c r="F71" i="4"/>
  <c r="H26" i="33" s="1"/>
  <c r="F70" i="4"/>
  <c r="H25" i="33" s="1"/>
  <c r="F68" i="4"/>
  <c r="H22" i="33"/>
  <c r="F66" i="4"/>
  <c r="H21" i="33" s="1"/>
  <c r="F65" i="4"/>
  <c r="H20" i="33" s="1"/>
  <c r="F64" i="4"/>
  <c r="H19" i="33" s="1"/>
  <c r="F63" i="4"/>
  <c r="H18" i="33" s="1"/>
  <c r="E61" i="4"/>
  <c r="D61" i="4"/>
  <c r="C61" i="4"/>
  <c r="B61" i="4"/>
  <c r="F60" i="4"/>
  <c r="H15" i="33" s="1"/>
  <c r="F59" i="4"/>
  <c r="H14" i="33" s="1"/>
  <c r="F58" i="4"/>
  <c r="H13" i="33" s="1"/>
  <c r="F57" i="4"/>
  <c r="H12" i="33" s="1"/>
  <c r="E55" i="4"/>
  <c r="D55" i="4"/>
  <c r="C55" i="4"/>
  <c r="F54" i="4"/>
  <c r="H9" i="33" s="1"/>
  <c r="F53" i="4"/>
  <c r="H8" i="33" s="1"/>
  <c r="F52" i="4"/>
  <c r="H7" i="33" s="1"/>
  <c r="F51" i="4"/>
  <c r="H6" i="33" s="1"/>
  <c r="F50" i="4"/>
  <c r="H5" i="33" s="1"/>
  <c r="F49" i="4"/>
  <c r="H4" i="33" s="1"/>
  <c r="F76" i="2"/>
  <c r="G31" i="33" s="1"/>
  <c r="F75" i="2"/>
  <c r="G30" i="33" s="1"/>
  <c r="F74" i="2"/>
  <c r="G29" i="33" s="1"/>
  <c r="F73" i="2"/>
  <c r="G28" i="33" s="1"/>
  <c r="F72" i="2"/>
  <c r="G27" i="33" s="1"/>
  <c r="F71" i="2"/>
  <c r="G26" i="33" s="1"/>
  <c r="F70" i="2"/>
  <c r="G25" i="33" s="1"/>
  <c r="F68" i="2"/>
  <c r="G22" i="33"/>
  <c r="F66" i="2"/>
  <c r="G21" i="33" s="1"/>
  <c r="F65" i="2"/>
  <c r="G20" i="33" s="1"/>
  <c r="F64" i="2"/>
  <c r="G19" i="33" s="1"/>
  <c r="F63" i="2"/>
  <c r="G18" i="33" s="1"/>
  <c r="E61" i="2"/>
  <c r="D61" i="2"/>
  <c r="C61" i="2"/>
  <c r="B61" i="2"/>
  <c r="F60" i="2"/>
  <c r="G15" i="33" s="1"/>
  <c r="F59" i="2"/>
  <c r="G14" i="33" s="1"/>
  <c r="F58" i="2"/>
  <c r="G13" i="33" s="1"/>
  <c r="F57" i="2"/>
  <c r="G12" i="33" s="1"/>
  <c r="E55" i="2"/>
  <c r="D55" i="2"/>
  <c r="C55" i="2"/>
  <c r="F54" i="2"/>
  <c r="G9" i="33" s="1"/>
  <c r="F53" i="2"/>
  <c r="G8" i="33" s="1"/>
  <c r="F52" i="2"/>
  <c r="G7" i="33" s="1"/>
  <c r="F51" i="2"/>
  <c r="G6" i="33" s="1"/>
  <c r="F50" i="2"/>
  <c r="G5" i="33" s="1"/>
  <c r="F49" i="2"/>
  <c r="G4" i="33" s="1"/>
  <c r="C61" i="1"/>
  <c r="D61" i="1"/>
  <c r="E61" i="1"/>
  <c r="B61" i="1"/>
  <c r="C55" i="1"/>
  <c r="D55" i="1"/>
  <c r="E55" i="1"/>
  <c r="F63" i="1"/>
  <c r="F18" i="33" s="1"/>
  <c r="F64" i="1"/>
  <c r="F19" i="33" s="1"/>
  <c r="F65" i="1"/>
  <c r="F20" i="33" s="1"/>
  <c r="F66" i="1"/>
  <c r="F21" i="33" s="1"/>
  <c r="F22" i="33"/>
  <c r="F68" i="1"/>
  <c r="F70" i="1"/>
  <c r="F25" i="33" s="1"/>
  <c r="F71" i="1"/>
  <c r="F26" i="33" s="1"/>
  <c r="F72" i="1"/>
  <c r="F27" i="33" s="1"/>
  <c r="F73" i="1"/>
  <c r="F28" i="33" s="1"/>
  <c r="F74" i="1"/>
  <c r="F29" i="33" s="1"/>
  <c r="F75" i="1"/>
  <c r="F30" i="33" s="1"/>
  <c r="F76" i="1"/>
  <c r="F31" i="33" s="1"/>
  <c r="F50" i="1"/>
  <c r="F5" i="33" s="1"/>
  <c r="F51" i="1"/>
  <c r="F6" i="33" s="1"/>
  <c r="F52" i="1"/>
  <c r="F7" i="33" s="1"/>
  <c r="F53" i="1"/>
  <c r="F8" i="33" s="1"/>
  <c r="F54" i="1"/>
  <c r="F9" i="33" s="1"/>
  <c r="F57" i="1"/>
  <c r="F12" i="33" s="1"/>
  <c r="F58" i="1"/>
  <c r="F13" i="33" s="1"/>
  <c r="F59" i="1"/>
  <c r="F14" i="33" s="1"/>
  <c r="F60" i="1"/>
  <c r="F15" i="33" s="1"/>
  <c r="F49" i="1"/>
  <c r="F4" i="33" s="1"/>
  <c r="C62" i="34"/>
  <c r="C27" i="33"/>
  <c r="C31" i="33"/>
  <c r="C30" i="33"/>
  <c r="C29" i="33"/>
  <c r="C28" i="33"/>
  <c r="C25" i="33"/>
  <c r="C49" i="34"/>
  <c r="F1" i="33"/>
  <c r="G1" i="33" s="1"/>
  <c r="H1" i="33" s="1"/>
  <c r="I1" i="33" s="1"/>
  <c r="J1" i="33" s="1"/>
  <c r="K1" i="33" s="1"/>
  <c r="L1" i="33" s="1"/>
  <c r="M1" i="33" s="1"/>
  <c r="N1" i="33" s="1"/>
  <c r="O1" i="33" s="1"/>
  <c r="P1" i="33" s="1"/>
  <c r="Q1" i="33" s="1"/>
  <c r="R1" i="33" s="1"/>
  <c r="S1" i="33" s="1"/>
  <c r="T1" i="33" s="1"/>
  <c r="U1" i="33" s="1"/>
  <c r="V1" i="33" s="1"/>
  <c r="W1" i="33" s="1"/>
  <c r="X1" i="33" s="1"/>
  <c r="Y1" i="33" s="1"/>
  <c r="Z1" i="33" s="1"/>
  <c r="AA1" i="33" s="1"/>
  <c r="AB1" i="33" s="1"/>
  <c r="AC1" i="33" s="1"/>
  <c r="AD1" i="33" s="1"/>
  <c r="AE1" i="33" s="1"/>
  <c r="AF1" i="33" s="1"/>
  <c r="AG1" i="33" s="1"/>
  <c r="AH1" i="33" s="1"/>
  <c r="AI1" i="33" s="1"/>
  <c r="AJ1" i="33" s="1"/>
  <c r="B3" i="3"/>
  <c r="C1" i="37"/>
  <c r="F9" i="7"/>
  <c r="F18" i="7" s="1"/>
  <c r="F23" i="7" s="1"/>
  <c r="F9" i="10"/>
  <c r="F9" i="11"/>
  <c r="F9" i="12"/>
  <c r="F9" i="13"/>
  <c r="F9" i="14"/>
  <c r="F9" i="15"/>
  <c r="F9" i="17"/>
  <c r="F9" i="32"/>
  <c r="F9" i="18"/>
  <c r="F9" i="19"/>
  <c r="F9" i="20"/>
  <c r="F9" i="21"/>
  <c r="F9" i="22"/>
  <c r="F9" i="23"/>
  <c r="F9" i="24"/>
  <c r="F9" i="25"/>
  <c r="F9" i="26"/>
  <c r="F9" i="27"/>
  <c r="F9" i="28"/>
  <c r="F9" i="29"/>
  <c r="F9" i="30"/>
  <c r="F9" i="31"/>
  <c r="F9" i="16"/>
  <c r="F9" i="6"/>
  <c r="F9" i="9"/>
  <c r="F9" i="8"/>
  <c r="F9" i="5"/>
  <c r="F9" i="4"/>
  <c r="F9" i="1"/>
  <c r="C29" i="34"/>
  <c r="C38" i="34"/>
  <c r="E23" i="34"/>
  <c r="C45" i="34"/>
  <c r="E45" i="34"/>
  <c r="F76" i="34"/>
  <c r="F77" i="34"/>
  <c r="F78" i="34"/>
  <c r="B23" i="3" l="1"/>
  <c r="E23" i="3"/>
  <c r="G23" i="3"/>
  <c r="F3" i="34"/>
  <c r="C8" i="37"/>
  <c r="F18" i="1"/>
  <c r="F23" i="1" s="1"/>
  <c r="G8" i="37"/>
  <c r="F18" i="8"/>
  <c r="F23" i="8" s="1"/>
  <c r="O8" i="37"/>
  <c r="F18" i="27"/>
  <c r="F23" i="27" s="1"/>
  <c r="W8" i="37"/>
  <c r="F18" i="19"/>
  <c r="F23" i="19" s="1"/>
  <c r="AA8" i="37"/>
  <c r="F18" i="15"/>
  <c r="F23" i="15" s="1"/>
  <c r="E8" i="37"/>
  <c r="F18" i="4"/>
  <c r="F23" i="4" s="1"/>
  <c r="I8" i="37"/>
  <c r="F18" i="6"/>
  <c r="F23" i="6" s="1"/>
  <c r="Q8" i="37"/>
  <c r="F18" i="25"/>
  <c r="F23" i="25" s="1"/>
  <c r="U8" i="37"/>
  <c r="F18" i="21"/>
  <c r="F23" i="21" s="1"/>
  <c r="Y8" i="37"/>
  <c r="F18" i="32"/>
  <c r="F23" i="32" s="1"/>
  <c r="AG17" i="37"/>
  <c r="F8" i="37"/>
  <c r="F18" i="5"/>
  <c r="F23" i="5" s="1"/>
  <c r="J8" i="37"/>
  <c r="F18" i="16"/>
  <c r="F23" i="16" s="1"/>
  <c r="N8" i="37"/>
  <c r="F18" i="28"/>
  <c r="F23" i="28" s="1"/>
  <c r="R8" i="37"/>
  <c r="F18" i="24"/>
  <c r="F23" i="24" s="1"/>
  <c r="V8" i="37"/>
  <c r="F18" i="20"/>
  <c r="F23" i="20" s="1"/>
  <c r="Z8" i="37"/>
  <c r="F18" i="17"/>
  <c r="F23" i="17" s="1"/>
  <c r="AD8" i="37"/>
  <c r="F18" i="12"/>
  <c r="F23" i="12" s="1"/>
  <c r="D8" i="37"/>
  <c r="L8" i="37"/>
  <c r="F18" i="30"/>
  <c r="F23" i="30" s="1"/>
  <c r="P8" i="37"/>
  <c r="F18" i="26"/>
  <c r="F23" i="26" s="1"/>
  <c r="X8" i="37"/>
  <c r="F18" i="18"/>
  <c r="F23" i="18" s="1"/>
  <c r="AF8" i="37"/>
  <c r="F18" i="10"/>
  <c r="F23" i="10" s="1"/>
  <c r="K8" i="37"/>
  <c r="F18" i="31"/>
  <c r="F23" i="31" s="1"/>
  <c r="S8" i="37"/>
  <c r="F18" i="23"/>
  <c r="F23" i="23" s="1"/>
  <c r="I29" i="23" s="1"/>
  <c r="AE8" i="37"/>
  <c r="F18" i="11"/>
  <c r="F23" i="11" s="1"/>
  <c r="H8" i="37"/>
  <c r="F18" i="9"/>
  <c r="F23" i="9" s="1"/>
  <c r="T8" i="37"/>
  <c r="F18" i="22"/>
  <c r="F23" i="22" s="1"/>
  <c r="AB8" i="37"/>
  <c r="F18" i="14"/>
  <c r="F23" i="14" s="1"/>
  <c r="M8" i="37"/>
  <c r="F18" i="29"/>
  <c r="F23" i="29" s="1"/>
  <c r="AC8" i="37"/>
  <c r="F18" i="13"/>
  <c r="F23" i="13" s="1"/>
  <c r="D4" i="33"/>
  <c r="F33" i="34" s="1"/>
  <c r="D28" i="33"/>
  <c r="F63" i="34" s="1"/>
  <c r="D22" i="33"/>
  <c r="F48" i="34" s="1"/>
  <c r="D27" i="33"/>
  <c r="D31" i="33"/>
  <c r="D25" i="33"/>
  <c r="F70" i="34" s="1"/>
  <c r="D29" i="33"/>
  <c r="F59" i="34" s="1"/>
  <c r="D26" i="33"/>
  <c r="F67" i="34" s="1"/>
  <c r="D30" i="33"/>
  <c r="AG8" i="37"/>
  <c r="F9" i="3"/>
  <c r="F55" i="27"/>
  <c r="R10" i="33" s="1"/>
  <c r="F55" i="2"/>
  <c r="G10" i="33" s="1"/>
  <c r="IR13" i="33"/>
  <c r="F55" i="23"/>
  <c r="V10" i="33" s="1"/>
  <c r="F55" i="21"/>
  <c r="X10" i="33" s="1"/>
  <c r="F61" i="17"/>
  <c r="AC16" i="33" s="1"/>
  <c r="F61" i="2"/>
  <c r="F55" i="19"/>
  <c r="Z10" i="33" s="1"/>
  <c r="F55" i="18"/>
  <c r="AA10" i="33" s="1"/>
  <c r="D6" i="33"/>
  <c r="F37" i="34" s="1"/>
  <c r="F55" i="24"/>
  <c r="U10" i="33" s="1"/>
  <c r="F55" i="15"/>
  <c r="AD10" i="33" s="1"/>
  <c r="D18" i="33"/>
  <c r="F27" i="34" s="1"/>
  <c r="F55" i="8"/>
  <c r="J10" i="33" s="1"/>
  <c r="F57" i="34"/>
  <c r="F55" i="1"/>
  <c r="F10" i="33" s="1"/>
  <c r="F55" i="4"/>
  <c r="H10" i="33" s="1"/>
  <c r="F55" i="5"/>
  <c r="I10" i="33" s="1"/>
  <c r="F55" i="28"/>
  <c r="Q10" i="33" s="1"/>
  <c r="F55" i="25"/>
  <c r="T10" i="33" s="1"/>
  <c r="F55" i="22"/>
  <c r="W10" i="33" s="1"/>
  <c r="F61" i="20"/>
  <c r="Y16" i="33" s="1"/>
  <c r="F55" i="12"/>
  <c r="AG10" i="33" s="1"/>
  <c r="F55" i="11"/>
  <c r="AH10" i="33" s="1"/>
  <c r="F55" i="7"/>
  <c r="AJ10" i="33" s="1"/>
  <c r="F55" i="29"/>
  <c r="P10" i="33" s="1"/>
  <c r="F55" i="26"/>
  <c r="S10" i="33" s="1"/>
  <c r="F61" i="24"/>
  <c r="U16" i="33" s="1"/>
  <c r="F55" i="17"/>
  <c r="AC10" i="33" s="1"/>
  <c r="F55" i="13"/>
  <c r="AF10" i="33" s="1"/>
  <c r="F55" i="10"/>
  <c r="AI10" i="33" s="1"/>
  <c r="F55" i="16"/>
  <c r="M10" i="33" s="1"/>
  <c r="F61" i="28"/>
  <c r="Q16" i="33" s="1"/>
  <c r="F55" i="20"/>
  <c r="Y10" i="33" s="1"/>
  <c r="F55" i="32"/>
  <c r="AB10" i="33" s="1"/>
  <c r="F55" i="14"/>
  <c r="AE10" i="33" s="1"/>
  <c r="F61" i="12"/>
  <c r="AG16" i="33" s="1"/>
  <c r="F61" i="11"/>
  <c r="AH16" i="33" s="1"/>
  <c r="D20" i="33"/>
  <c r="F28" i="34" s="1"/>
  <c r="D7" i="33"/>
  <c r="F36" i="34" s="1"/>
  <c r="D1" i="37"/>
  <c r="E1" i="37" s="1"/>
  <c r="F1" i="37" s="1"/>
  <c r="G1" i="37" s="1"/>
  <c r="H1" i="37" s="1"/>
  <c r="I1" i="37" s="1"/>
  <c r="J1" i="37" s="1"/>
  <c r="K1" i="37" s="1"/>
  <c r="L1" i="37" s="1"/>
  <c r="M1" i="37" s="1"/>
  <c r="N1" i="37" s="1"/>
  <c r="O1" i="37" s="1"/>
  <c r="P1" i="37" s="1"/>
  <c r="Q1" i="37" s="1"/>
  <c r="R1" i="37" s="1"/>
  <c r="S1" i="37" s="1"/>
  <c r="T1" i="37" s="1"/>
  <c r="U1" i="37" s="1"/>
  <c r="V1" i="37" s="1"/>
  <c r="W1" i="37" s="1"/>
  <c r="X1" i="37" s="1"/>
  <c r="Y1" i="37" s="1"/>
  <c r="Z1" i="37" s="1"/>
  <c r="AA1" i="37" s="1"/>
  <c r="AB1" i="37" s="1"/>
  <c r="AC1" i="37" s="1"/>
  <c r="AD1" i="37" s="1"/>
  <c r="AE1" i="37" s="1"/>
  <c r="AF1" i="37" s="1"/>
  <c r="AG1" i="37" s="1"/>
  <c r="F1" i="38"/>
  <c r="H1" i="38" s="1"/>
  <c r="J1" i="38" s="1"/>
  <c r="L1" i="38" s="1"/>
  <c r="N1" i="38" s="1"/>
  <c r="P1" i="38" s="1"/>
  <c r="R1" i="38" s="1"/>
  <c r="T1" i="38" s="1"/>
  <c r="V1" i="38" s="1"/>
  <c r="X1" i="38" s="1"/>
  <c r="Z1" i="38" s="1"/>
  <c r="AB1" i="38" s="1"/>
  <c r="AD1" i="38" s="1"/>
  <c r="AF1" i="38" s="1"/>
  <c r="AH1" i="38" s="1"/>
  <c r="AJ1" i="38" s="1"/>
  <c r="AL1" i="38" s="1"/>
  <c r="AN1" i="38" s="1"/>
  <c r="AP1" i="38" s="1"/>
  <c r="AR1" i="38" s="1"/>
  <c r="AT1" i="38" s="1"/>
  <c r="AV1" i="38" s="1"/>
  <c r="AX1" i="38" s="1"/>
  <c r="AZ1" i="38" s="1"/>
  <c r="BB1" i="38" s="1"/>
  <c r="BD1" i="38" s="1"/>
  <c r="BF1" i="38" s="1"/>
  <c r="BH1" i="38" s="1"/>
  <c r="BJ1" i="38" s="1"/>
  <c r="BL1" i="38" s="1"/>
  <c r="BN1" i="38" s="1"/>
  <c r="F79" i="34"/>
  <c r="G75" i="34" s="1"/>
  <c r="B21" i="37"/>
  <c r="B9" i="37"/>
  <c r="B18" i="37"/>
  <c r="D5" i="33"/>
  <c r="F34" i="34" s="1"/>
  <c r="B11" i="37"/>
  <c r="D19" i="33"/>
  <c r="F42" i="34" s="1"/>
  <c r="F61" i="1"/>
  <c r="F16" i="33" s="1"/>
  <c r="D8" i="33"/>
  <c r="F35" i="34" s="1"/>
  <c r="B12" i="37"/>
  <c r="B10" i="37"/>
  <c r="B15" i="37"/>
  <c r="F61" i="16"/>
  <c r="M16" i="33" s="1"/>
  <c r="F55" i="30"/>
  <c r="O10" i="33" s="1"/>
  <c r="F55" i="31"/>
  <c r="N10" i="33" s="1"/>
  <c r="B14" i="37"/>
  <c r="D15" i="33"/>
  <c r="F43" i="34" s="1"/>
  <c r="B13" i="37"/>
  <c r="F55" i="6"/>
  <c r="L10" i="33" s="1"/>
  <c r="F55" i="9"/>
  <c r="K10" i="33" s="1"/>
  <c r="D14" i="33"/>
  <c r="D9" i="33"/>
  <c r="D13" i="33"/>
  <c r="F44" i="34" s="1"/>
  <c r="D12" i="33"/>
  <c r="F61" i="5"/>
  <c r="I16" i="33" s="1"/>
  <c r="B2" i="37"/>
  <c r="B20" i="37"/>
  <c r="B19" i="37"/>
  <c r="F61" i="6"/>
  <c r="L16" i="33" s="1"/>
  <c r="F61" i="29"/>
  <c r="P16" i="33" s="1"/>
  <c r="F61" i="25"/>
  <c r="T16" i="33" s="1"/>
  <c r="F61" i="21"/>
  <c r="X16" i="33" s="1"/>
  <c r="F61" i="32"/>
  <c r="AB16" i="33" s="1"/>
  <c r="F61" i="13"/>
  <c r="AF16" i="33" s="1"/>
  <c r="F61" i="7"/>
  <c r="AJ16" i="33" s="1"/>
  <c r="F61" i="8"/>
  <c r="J16" i="33" s="1"/>
  <c r="F61" i="31"/>
  <c r="N16" i="33" s="1"/>
  <c r="F61" i="27"/>
  <c r="R16" i="33" s="1"/>
  <c r="F61" i="23"/>
  <c r="V16" i="33" s="1"/>
  <c r="F61" i="19"/>
  <c r="Z16" i="33" s="1"/>
  <c r="F61" i="15"/>
  <c r="AD16" i="33" s="1"/>
  <c r="F61" i="4"/>
  <c r="H16" i="33" s="1"/>
  <c r="F61" i="9"/>
  <c r="K16" i="33" s="1"/>
  <c r="F61" i="30"/>
  <c r="O16" i="33" s="1"/>
  <c r="F61" i="26"/>
  <c r="S16" i="33" s="1"/>
  <c r="F61" i="22"/>
  <c r="W16" i="33" s="1"/>
  <c r="F61" i="18"/>
  <c r="AA16" i="33" s="1"/>
  <c r="F61" i="14"/>
  <c r="AE16" i="33" s="1"/>
  <c r="F61" i="10"/>
  <c r="AI16" i="33" s="1"/>
  <c r="G16" i="33" l="1"/>
  <c r="B8" i="37"/>
  <c r="L17" i="37"/>
  <c r="E17" i="37"/>
  <c r="T17" i="37"/>
  <c r="K17" i="37"/>
  <c r="AD17" i="37"/>
  <c r="N17" i="37"/>
  <c r="Y17" i="37"/>
  <c r="W17" i="37"/>
  <c r="AC17" i="37"/>
  <c r="AB17" i="37"/>
  <c r="H17" i="37"/>
  <c r="S17" i="37"/>
  <c r="AF17" i="37"/>
  <c r="P17" i="37"/>
  <c r="D17" i="37"/>
  <c r="Z17" i="37"/>
  <c r="R17" i="37"/>
  <c r="J17" i="37"/>
  <c r="U17" i="37"/>
  <c r="I17" i="37"/>
  <c r="AA17" i="37"/>
  <c r="O17" i="37"/>
  <c r="C17" i="37"/>
  <c r="M17" i="37"/>
  <c r="AE17" i="37"/>
  <c r="X17" i="37"/>
  <c r="V17" i="37"/>
  <c r="F17" i="37"/>
  <c r="Q17" i="37"/>
  <c r="G17" i="37"/>
  <c r="F9" i="34"/>
  <c r="F18" i="3"/>
  <c r="I29" i="7"/>
  <c r="AG22" i="37"/>
  <c r="F29" i="34"/>
  <c r="G28" i="34" s="1"/>
  <c r="X23" i="33"/>
  <c r="R23" i="33"/>
  <c r="Y23" i="33"/>
  <c r="Z23" i="33"/>
  <c r="G23" i="33"/>
  <c r="AA23" i="33"/>
  <c r="AC23" i="33"/>
  <c r="J23" i="33"/>
  <c r="F23" i="33"/>
  <c r="V23" i="33"/>
  <c r="AF23" i="33"/>
  <c r="AH23" i="33"/>
  <c r="AD23" i="33"/>
  <c r="I23" i="33"/>
  <c r="U23" i="33"/>
  <c r="AG23" i="33"/>
  <c r="S23" i="33"/>
  <c r="W23" i="33"/>
  <c r="P23" i="33"/>
  <c r="T23" i="33"/>
  <c r="Q23" i="33"/>
  <c r="O23" i="33"/>
  <c r="AE23" i="33"/>
  <c r="M23" i="33"/>
  <c r="AB23" i="33"/>
  <c r="AI23" i="33"/>
  <c r="AJ23" i="33"/>
  <c r="H23" i="33"/>
  <c r="D21" i="33"/>
  <c r="B6" i="37"/>
  <c r="F40" i="34"/>
  <c r="D10" i="33"/>
  <c r="N23" i="33"/>
  <c r="L23" i="33"/>
  <c r="K23" i="33"/>
  <c r="B5" i="37"/>
  <c r="F32" i="34"/>
  <c r="D16" i="33"/>
  <c r="F41" i="34"/>
  <c r="G5" i="2" l="1"/>
  <c r="E23" i="2"/>
  <c r="E5" i="3"/>
  <c r="F19" i="34"/>
  <c r="F18" i="34"/>
  <c r="Q22" i="37"/>
  <c r="I29" i="25"/>
  <c r="AE22" i="37"/>
  <c r="I29" i="11"/>
  <c r="AA22" i="37"/>
  <c r="I29" i="15"/>
  <c r="R22" i="37"/>
  <c r="I29" i="24"/>
  <c r="AF22" i="37"/>
  <c r="I29" i="10"/>
  <c r="I29" i="12"/>
  <c r="AD22" i="37"/>
  <c r="L22" i="37"/>
  <c r="I29" i="30"/>
  <c r="J22" i="37"/>
  <c r="I29" i="16"/>
  <c r="I29" i="28"/>
  <c r="N22" i="37"/>
  <c r="E22" i="37"/>
  <c r="I29" i="4"/>
  <c r="I30" i="19" s="1"/>
  <c r="I30" i="18" s="1"/>
  <c r="I30" i="32" s="1"/>
  <c r="I30" i="17" s="1"/>
  <c r="I30" i="15" s="1"/>
  <c r="I30" i="14" s="1"/>
  <c r="I30" i="13" s="1"/>
  <c r="I30" i="12" s="1"/>
  <c r="I31" i="11" s="1"/>
  <c r="I29" i="8"/>
  <c r="G22" i="37"/>
  <c r="I29" i="5"/>
  <c r="F22" i="37"/>
  <c r="I29" i="18"/>
  <c r="X22" i="37"/>
  <c r="M22" i="37"/>
  <c r="I29" i="29"/>
  <c r="O22" i="37"/>
  <c r="I29" i="27"/>
  <c r="I22" i="37"/>
  <c r="I29" i="6"/>
  <c r="I29" i="17"/>
  <c r="Z22" i="37"/>
  <c r="I29" i="26"/>
  <c r="P22" i="37"/>
  <c r="S22" i="37"/>
  <c r="I29" i="14"/>
  <c r="AB22" i="37"/>
  <c r="I29" i="19"/>
  <c r="W22" i="37"/>
  <c r="I29" i="31"/>
  <c r="K22" i="37"/>
  <c r="I29" i="20"/>
  <c r="V22" i="37"/>
  <c r="C22" i="37"/>
  <c r="I29" i="1"/>
  <c r="H22" i="37"/>
  <c r="I29" i="9"/>
  <c r="Y22" i="37"/>
  <c r="I29" i="32"/>
  <c r="I29" i="22"/>
  <c r="T22" i="37"/>
  <c r="B17" i="37"/>
  <c r="U22" i="37"/>
  <c r="I29" i="21"/>
  <c r="AC22" i="37"/>
  <c r="I29" i="13"/>
  <c r="F38" i="34"/>
  <c r="G36" i="34" s="1"/>
  <c r="F45" i="34"/>
  <c r="G27" i="34"/>
  <c r="D23" i="33"/>
  <c r="B3" i="37"/>
  <c r="G23" i="2" l="1"/>
  <c r="D4" i="37"/>
  <c r="B4" i="37" s="1"/>
  <c r="G5" i="3"/>
  <c r="F5" i="34" s="1"/>
  <c r="F23" i="34" s="1"/>
  <c r="G34" i="34"/>
  <c r="F49" i="34"/>
  <c r="G38" i="34" s="1"/>
  <c r="G32" i="34"/>
  <c r="G35" i="34"/>
  <c r="I1" i="20"/>
  <c r="G37" i="34"/>
  <c r="G33" i="34"/>
  <c r="G40" i="34"/>
  <c r="G41" i="34"/>
  <c r="G44" i="34"/>
  <c r="G43" i="34"/>
  <c r="G42" i="34"/>
  <c r="B16" i="37"/>
  <c r="B7" i="37"/>
  <c r="I29" i="2" l="1"/>
  <c r="D22" i="37"/>
  <c r="B22" i="37" s="1"/>
  <c r="G3" i="34"/>
  <c r="G7" i="34"/>
  <c r="F23" i="3"/>
  <c r="G45" i="34"/>
  <c r="G29" i="34"/>
  <c r="G48" i="34"/>
  <c r="B7" i="34" l="1"/>
  <c r="F50" i="34"/>
  <c r="G50" i="34" s="1"/>
  <c r="G4" i="34"/>
  <c r="G15" i="34"/>
  <c r="G19" i="34"/>
  <c r="G11" i="34"/>
  <c r="G16" i="34"/>
  <c r="G13" i="34"/>
  <c r="G9" i="34"/>
  <c r="G17" i="34"/>
  <c r="G6" i="34"/>
  <c r="G18" i="34"/>
  <c r="G8" i="34"/>
  <c r="G22" i="34"/>
  <c r="G12" i="34"/>
  <c r="G21" i="34"/>
  <c r="G10" i="34"/>
  <c r="G79" i="34"/>
  <c r="G5" i="34"/>
  <c r="G20" i="34"/>
  <c r="G14" i="34"/>
  <c r="G49" i="34"/>
  <c r="G23" i="34" l="1"/>
  <c r="B21" i="34"/>
  <c r="B14" i="34"/>
  <c r="B5" i="34"/>
  <c r="D23" i="34"/>
  <c r="B20" i="34"/>
  <c r="B13" i="34"/>
  <c r="B4" i="34"/>
  <c r="B68" i="34"/>
  <c r="F68" i="34" s="1"/>
  <c r="B19" i="34"/>
  <c r="B12" i="34"/>
  <c r="B3" i="34"/>
  <c r="B15" i="34"/>
  <c r="B49" i="34"/>
  <c r="B11" i="34"/>
  <c r="B79" i="34"/>
  <c r="B10" i="34"/>
  <c r="B80" i="34"/>
  <c r="B17" i="34"/>
  <c r="B9" i="34"/>
  <c r="B16" i="34"/>
  <c r="B8" i="34"/>
  <c r="B22" i="34"/>
  <c r="B6" i="34"/>
  <c r="B18" i="34" l="1"/>
  <c r="B45" i="34"/>
  <c r="B47" i="34"/>
  <c r="B29" i="34"/>
  <c r="B38" i="34"/>
  <c r="B48" i="34"/>
  <c r="B22" i="33" s="1"/>
  <c r="B50" i="34"/>
  <c r="B75" i="34"/>
  <c r="C79" i="34"/>
  <c r="C80" i="34" s="1"/>
  <c r="D49" i="34"/>
  <c r="D50" i="34" s="1"/>
  <c r="D20" i="34"/>
  <c r="D68" i="34" s="1"/>
  <c r="D19" i="34"/>
  <c r="D79" i="34"/>
  <c r="D75" i="34" s="1"/>
  <c r="D80" i="34"/>
  <c r="B61" i="34"/>
  <c r="B82" i="34"/>
  <c r="B83" i="34" s="1"/>
  <c r="D82" i="34" l="1"/>
  <c r="D83" i="34" s="1"/>
  <c r="B55" i="34"/>
  <c r="F55" i="34" s="1"/>
  <c r="B57" i="34"/>
  <c r="B58" i="34"/>
  <c r="B30" i="33" s="1"/>
  <c r="E30" i="33" s="1"/>
  <c r="B53" i="34"/>
  <c r="F53" i="34" s="1"/>
  <c r="B60" i="34"/>
  <c r="F60" i="34" s="1"/>
  <c r="B59" i="34"/>
  <c r="B29" i="33" s="1"/>
  <c r="E29" i="33" s="1"/>
  <c r="B56" i="34"/>
  <c r="F56" i="34" s="1"/>
  <c r="B54" i="34"/>
  <c r="F54" i="34" s="1"/>
  <c r="B78" i="34"/>
  <c r="B76" i="34"/>
  <c r="B77" i="34"/>
  <c r="D73" i="34"/>
  <c r="D61" i="34" s="1"/>
  <c r="B34" i="34"/>
  <c r="B5" i="33" s="1"/>
  <c r="B37" i="34"/>
  <c r="B6" i="33" s="1"/>
  <c r="B32" i="34"/>
  <c r="B9" i="33" s="1"/>
  <c r="E9" i="33" s="1"/>
  <c r="B35" i="34"/>
  <c r="B8" i="33" s="1"/>
  <c r="B33" i="34"/>
  <c r="B4" i="33" s="1"/>
  <c r="B36" i="34"/>
  <c r="B7" i="33" s="1"/>
  <c r="E22" i="33"/>
  <c r="D76" i="34"/>
  <c r="D78" i="34"/>
  <c r="D77" i="34"/>
  <c r="B27" i="34"/>
  <c r="B18" i="33" s="1"/>
  <c r="B28" i="34"/>
  <c r="B20" i="33" s="1"/>
  <c r="E20" i="33" s="1"/>
  <c r="B73" i="34"/>
  <c r="D29" i="34"/>
  <c r="D38" i="34"/>
  <c r="D48" i="34"/>
  <c r="D45" i="34"/>
  <c r="B43" i="34"/>
  <c r="B15" i="33" s="1"/>
  <c r="B41" i="34"/>
  <c r="B12" i="33" s="1"/>
  <c r="B40" i="34"/>
  <c r="B14" i="33" s="1"/>
  <c r="E14" i="33" s="1"/>
  <c r="B42" i="34"/>
  <c r="B19" i="33" s="1"/>
  <c r="B44" i="34"/>
  <c r="B13" i="33" s="1"/>
  <c r="B31" i="33" l="1"/>
  <c r="E31" i="33" s="1"/>
  <c r="F58" i="34"/>
  <c r="F61" i="34" s="1"/>
  <c r="G60" i="34" s="1"/>
  <c r="D40" i="34"/>
  <c r="D41" i="34"/>
  <c r="D42" i="34"/>
  <c r="D43" i="34"/>
  <c r="D44" i="34"/>
  <c r="E5" i="33"/>
  <c r="D35" i="34"/>
  <c r="D32" i="34"/>
  <c r="D33" i="34"/>
  <c r="D34" i="34"/>
  <c r="D36" i="34"/>
  <c r="D37" i="34"/>
  <c r="D28" i="34"/>
  <c r="D27" i="34"/>
  <c r="D57" i="34"/>
  <c r="D53" i="34"/>
  <c r="D55" i="34"/>
  <c r="D59" i="34"/>
  <c r="D56" i="34"/>
  <c r="D54" i="34"/>
  <c r="D60" i="34"/>
  <c r="D58" i="34"/>
  <c r="D70" i="34"/>
  <c r="E65" i="34"/>
  <c r="D67" i="34"/>
  <c r="D71" i="34"/>
  <c r="D72" i="34"/>
  <c r="D63" i="34"/>
  <c r="D69" i="34"/>
  <c r="E19" i="33"/>
  <c r="B71" i="34"/>
  <c r="F71" i="34" s="1"/>
  <c r="B66" i="34"/>
  <c r="B70" i="34"/>
  <c r="B25" i="33" s="1"/>
  <c r="E25" i="33" s="1"/>
  <c r="B69" i="34"/>
  <c r="B63" i="34"/>
  <c r="B28" i="33" s="1"/>
  <c r="E28" i="33" s="1"/>
  <c r="B72" i="34"/>
  <c r="F72" i="34" s="1"/>
  <c r="B64" i="34"/>
  <c r="F64" i="34" s="1"/>
  <c r="B65" i="34"/>
  <c r="F65" i="34" s="1"/>
  <c r="E15" i="33"/>
  <c r="E6" i="33"/>
  <c r="E13" i="33"/>
  <c r="E7" i="33"/>
  <c r="E4" i="33"/>
  <c r="B10" i="33"/>
  <c r="C4" i="33" s="1"/>
  <c r="B16" i="33"/>
  <c r="C13" i="33" s="1"/>
  <c r="E12" i="33"/>
  <c r="B21" i="33"/>
  <c r="C18" i="33" s="1"/>
  <c r="E18" i="33"/>
  <c r="E8" i="33"/>
  <c r="G54" i="34" l="1"/>
  <c r="B27" i="33"/>
  <c r="E27" i="33" s="1"/>
  <c r="F66" i="34"/>
  <c r="G53" i="34"/>
  <c r="G59" i="34"/>
  <c r="G57" i="34"/>
  <c r="G58" i="34"/>
  <c r="G55" i="34"/>
  <c r="G56" i="34"/>
  <c r="D64" i="34"/>
  <c r="E64" i="34" s="1"/>
  <c r="C5" i="33"/>
  <c r="C6" i="33"/>
  <c r="B67" i="34"/>
  <c r="C67" i="34" s="1"/>
  <c r="C12" i="33"/>
  <c r="C8" i="33"/>
  <c r="C14" i="33"/>
  <c r="E16" i="33"/>
  <c r="C9" i="33"/>
  <c r="E10" i="33"/>
  <c r="B23" i="33"/>
  <c r="C16" i="33" s="1"/>
  <c r="C15" i="33"/>
  <c r="C7" i="33"/>
  <c r="C20" i="33"/>
  <c r="E21" i="33"/>
  <c r="C19" i="33"/>
  <c r="F73" i="34" l="1"/>
  <c r="F80" i="34" s="1"/>
  <c r="F82" i="34" s="1"/>
  <c r="F83" i="34" s="1"/>
  <c r="B26" i="33"/>
  <c r="E26" i="33" s="1"/>
  <c r="C21" i="33"/>
  <c r="C10" i="33"/>
  <c r="E23" i="33"/>
  <c r="C22" i="33"/>
  <c r="G68" i="34" l="1"/>
  <c r="G67" i="34"/>
  <c r="G70" i="34"/>
  <c r="G63" i="34"/>
  <c r="G69" i="34"/>
  <c r="G64" i="34"/>
  <c r="G71" i="34"/>
  <c r="G72" i="34"/>
  <c r="G65" i="34"/>
  <c r="G6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mirna</author>
  </authors>
  <commentList>
    <comment ref="B54" authorId="0" shapeId="0" xr:uid="{21EDA3E7-34DE-4BD2-AE1A-9CE8073F8072}">
      <text>
        <r>
          <rPr>
            <b/>
            <sz val="9"/>
            <color indexed="81"/>
            <rFont val="Tahoma"/>
            <family val="2"/>
          </rPr>
          <t>mirna:</t>
        </r>
        <r>
          <rPr>
            <sz val="9"/>
            <color indexed="81"/>
            <rFont val="Tahoma"/>
            <family val="2"/>
          </rPr>
          <t xml:space="preserve">
beqa inv 568424896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mirna</author>
  </authors>
  <commentList>
    <comment ref="B49" authorId="0" shapeId="0" xr:uid="{AB7810FF-F3DB-44E4-9848-259C619FEEF6}">
      <text>
        <r>
          <rPr>
            <b/>
            <sz val="9"/>
            <color indexed="81"/>
            <rFont val="Tahoma"/>
            <family val="2"/>
          </rPr>
          <t>mirna:</t>
        </r>
        <r>
          <rPr>
            <sz val="9"/>
            <color indexed="81"/>
            <rFont val="Tahoma"/>
            <family val="2"/>
          </rPr>
          <t xml:space="preserve">
mert inv 00263880</t>
        </r>
      </text>
    </comment>
    <comment ref="B52" authorId="0" shapeId="0" xr:uid="{1A46FE07-921C-472F-9653-3274064D0923}">
      <text>
        <r>
          <rPr>
            <b/>
            <sz val="9"/>
            <color indexed="81"/>
            <rFont val="Tahoma"/>
            <family val="2"/>
          </rPr>
          <t>mirna:</t>
        </r>
        <r>
          <rPr>
            <sz val="9"/>
            <color indexed="81"/>
            <rFont val="Tahoma"/>
            <family val="2"/>
          </rPr>
          <t xml:space="preserve">
rise front inv 4273121</t>
        </r>
      </text>
    </comment>
    <comment ref="B53" authorId="0" shapeId="0" xr:uid="{8BD61D54-6DF5-4F0F-AAFC-35A1680D81FF}">
      <text>
        <r>
          <rPr>
            <b/>
            <sz val="9"/>
            <color indexed="81"/>
            <rFont val="Tahoma"/>
            <family val="2"/>
          </rPr>
          <t>mirna:</t>
        </r>
        <r>
          <rPr>
            <sz val="9"/>
            <color indexed="81"/>
            <rFont val="Tahoma"/>
            <family val="2"/>
          </rPr>
          <t xml:space="preserve">
rise friont inv 7861100320</t>
        </r>
      </text>
    </comment>
    <comment ref="B57" authorId="0" shapeId="0" xr:uid="{34A3D9AE-778A-4979-B338-499BF346565B}">
      <text>
        <r>
          <rPr>
            <b/>
            <sz val="9"/>
            <color indexed="81"/>
            <rFont val="Tahoma"/>
            <family val="2"/>
          </rPr>
          <t>mirna:</t>
        </r>
        <r>
          <rPr>
            <sz val="9"/>
            <color indexed="81"/>
            <rFont val="Tahoma"/>
            <family val="2"/>
          </rPr>
          <t xml:space="preserve">
mert inv 00263881</t>
        </r>
      </text>
    </comment>
  </commentList>
</comments>
</file>

<file path=xl/sharedStrings.xml><?xml version="1.0" encoding="utf-8"?>
<sst xmlns="http://schemas.openxmlformats.org/spreadsheetml/2006/main" count="4401" uniqueCount="230">
  <si>
    <t>TOTAL</t>
  </si>
  <si>
    <t>Total Expenses</t>
  </si>
  <si>
    <t>Bread</t>
  </si>
  <si>
    <t>Coffee/Tea</t>
  </si>
  <si>
    <t>Grocery Items</t>
  </si>
  <si>
    <t>Fruit'n'Veg</t>
  </si>
  <si>
    <t>Milk</t>
  </si>
  <si>
    <t>Cakes &amp; Cookies</t>
  </si>
  <si>
    <t>Sushi &amp; Rice Paper Rolls</t>
  </si>
  <si>
    <t>Soft Drinks</t>
  </si>
  <si>
    <t>Ice Creams</t>
  </si>
  <si>
    <t>Confectionery</t>
  </si>
  <si>
    <t>Newspapers &amp; Magazines</t>
  </si>
  <si>
    <t>Packaging &amp; Paper Products</t>
  </si>
  <si>
    <t>Laundry Services</t>
  </si>
  <si>
    <t>Repairs &amp; Maintenance</t>
  </si>
  <si>
    <t>Total Café Raw Goods</t>
  </si>
  <si>
    <t>Total Café Manufactured Goods</t>
  </si>
  <si>
    <t>Total Retail Products</t>
  </si>
  <si>
    <t>Bank Charges</t>
  </si>
  <si>
    <t>Total Administration Expenses</t>
  </si>
  <si>
    <t>Uniforms</t>
  </si>
  <si>
    <t>Wages &amp; Salaries</t>
  </si>
  <si>
    <t>Superannuation</t>
  </si>
  <si>
    <t>all figures exc gst</t>
  </si>
  <si>
    <t>available</t>
  </si>
  <si>
    <t>Cost Of Sales</t>
  </si>
  <si>
    <t>to spend</t>
  </si>
  <si>
    <t>Café Raw Goods</t>
  </si>
  <si>
    <t>Café Manufactured Goods</t>
  </si>
  <si>
    <t>Retail Products</t>
  </si>
  <si>
    <t>Total Cost Of Sales</t>
  </si>
  <si>
    <t>Other Cost</t>
  </si>
  <si>
    <t>Gross Profit</t>
  </si>
  <si>
    <t/>
  </si>
  <si>
    <t>Income</t>
  </si>
  <si>
    <t>Total Income</t>
  </si>
  <si>
    <t>Retail Goods</t>
  </si>
  <si>
    <t>Flowers, gifts, greeting cards</t>
  </si>
  <si>
    <t>Newspapers</t>
  </si>
  <si>
    <t>Total Retail Goods</t>
  </si>
  <si>
    <t>Cafe Raw Goods</t>
  </si>
  <si>
    <t>Milk/Yoghurt/Cheese</t>
  </si>
  <si>
    <t>Meat/Chicken/Seafood</t>
  </si>
  <si>
    <t>Fruit/Vegetables</t>
  </si>
  <si>
    <t>Grocery/Miscellaneous</t>
  </si>
  <si>
    <t>Total Cafe Raw Goods</t>
  </si>
  <si>
    <t>Cafe Manufactured Goods</t>
  </si>
  <si>
    <t>Cake/Bisc/Slice/Muffin</t>
  </si>
  <si>
    <t>Ice Cream</t>
  </si>
  <si>
    <t>Asian Cuisine</t>
  </si>
  <si>
    <t>Total Cafe Manufactured Goods</t>
  </si>
  <si>
    <t>Paper &amp; Packaging Products</t>
  </si>
  <si>
    <t>Expenses</t>
  </si>
  <si>
    <t>Administration Expenses</t>
  </si>
  <si>
    <t>Accounting Fees</t>
  </si>
  <si>
    <t>Credit Card Charges</t>
  </si>
  <si>
    <t>Insurance Premiums</t>
  </si>
  <si>
    <t>Computer Expenses</t>
  </si>
  <si>
    <t>Sponsorship</t>
  </si>
  <si>
    <t>Postage, Printing &amp; Stationery</t>
  </si>
  <si>
    <t>Registration Fees</t>
  </si>
  <si>
    <t>Operating Expenses</t>
  </si>
  <si>
    <t>Kitchen Equipment</t>
  </si>
  <si>
    <t>Food Safety</t>
  </si>
  <si>
    <t>Motor Vehicle Expenses</t>
  </si>
  <si>
    <t>Security Expenses</t>
  </si>
  <si>
    <t>Furniture &amp; Fittings</t>
  </si>
  <si>
    <t>Total Operating Expenses</t>
  </si>
  <si>
    <t>Employment Expenses</t>
  </si>
  <si>
    <t>Payroll tax</t>
  </si>
  <si>
    <t>Workcover</t>
  </si>
  <si>
    <t>Operating Profit</t>
  </si>
  <si>
    <t>week7/02 budget</t>
  </si>
  <si>
    <t>flowers</t>
  </si>
  <si>
    <t>confectionary</t>
  </si>
  <si>
    <t>Rent -Variable</t>
  </si>
  <si>
    <t>FOOD TRANSFER</t>
  </si>
  <si>
    <t>COFFEE BOX</t>
  </si>
  <si>
    <t>COFFEE THERAPY</t>
  </si>
  <si>
    <t>HEALTHY FILLINGS</t>
  </si>
  <si>
    <t>OUTPATIENT</t>
  </si>
  <si>
    <t>Till  1 Coffee Left</t>
  </si>
  <si>
    <t>Till  2 Coffee Right</t>
  </si>
  <si>
    <t>Till  3 Sushi</t>
  </si>
  <si>
    <t xml:space="preserve">Till  5 Salad </t>
  </si>
  <si>
    <t>Till  6 Pizza</t>
  </si>
  <si>
    <t>Till  7 Kebab</t>
  </si>
  <si>
    <t>Till  8 Hot Food</t>
  </si>
  <si>
    <t>Till  10 Juice Bar</t>
  </si>
  <si>
    <t>other specify</t>
  </si>
  <si>
    <t>SUPPLIER1</t>
  </si>
  <si>
    <t>SUPPLIER2</t>
  </si>
  <si>
    <t>SUPPLIER3</t>
  </si>
  <si>
    <t>SUPPLIER4</t>
  </si>
  <si>
    <t>SUPPLIER5</t>
  </si>
  <si>
    <t>SUPPLIER6</t>
  </si>
  <si>
    <t>SUPPLIER7</t>
  </si>
  <si>
    <t>SUPPLIER8</t>
  </si>
  <si>
    <t>SUPPLIER9</t>
  </si>
  <si>
    <t>SUPPLIER10</t>
  </si>
  <si>
    <t>SUPPLIER11</t>
  </si>
  <si>
    <t>SUPPLIER12</t>
  </si>
  <si>
    <t>SUPPLIER13</t>
  </si>
  <si>
    <t>SUPPLIER14</t>
  </si>
  <si>
    <t>Total</t>
  </si>
  <si>
    <t>Till  4 Panine</t>
  </si>
  <si>
    <t xml:space="preserve">Till  9 Wok </t>
  </si>
  <si>
    <t>MONTH TO DATE</t>
  </si>
  <si>
    <t>Outlet</t>
  </si>
  <si>
    <t>Total Income exc GST</t>
  </si>
  <si>
    <t>Cost Of Sales according to MYOB exc GST</t>
  </si>
  <si>
    <t>Budget</t>
  </si>
  <si>
    <t>Spent</t>
  </si>
  <si>
    <t>Total Cost Of Sales  F&amp; B%30</t>
  </si>
  <si>
    <t>Meat/chicken/seafood</t>
  </si>
  <si>
    <t>Computer expenses</t>
  </si>
  <si>
    <t>myob</t>
  </si>
  <si>
    <t>postage printing</t>
  </si>
  <si>
    <t>kitchen equipment</t>
  </si>
  <si>
    <t>Repairs and maintenance</t>
  </si>
  <si>
    <t>Car expenses</t>
  </si>
  <si>
    <t>Chemicals &amp; cleaning products/ laundry</t>
  </si>
  <si>
    <t>Day in the month</t>
  </si>
  <si>
    <t>overheads / kitchen fuel</t>
  </si>
  <si>
    <t>Total Employment Expenses %30</t>
  </si>
  <si>
    <t>Bill1</t>
  </si>
  <si>
    <t>Bill2</t>
  </si>
  <si>
    <t>Bill3</t>
  </si>
  <si>
    <t>Bill4</t>
  </si>
  <si>
    <t>Laundry Services/Chemicals</t>
  </si>
  <si>
    <t>Base Rate</t>
  </si>
  <si>
    <t>Casuals</t>
  </si>
  <si>
    <t>oncost</t>
  </si>
  <si>
    <t>Smart App café</t>
  </si>
  <si>
    <t>Smart App catering</t>
  </si>
  <si>
    <t>Zouki smart App Café</t>
  </si>
  <si>
    <t>Zouki smart App Catering</t>
  </si>
  <si>
    <t>Month budget</t>
  </si>
  <si>
    <t>Month to date</t>
  </si>
  <si>
    <t>exc. GST</t>
  </si>
  <si>
    <t>Amex</t>
  </si>
  <si>
    <t>CR+DR</t>
  </si>
  <si>
    <t>Green Organic</t>
  </si>
  <si>
    <t>TOTAL Bills Paid Cash</t>
  </si>
  <si>
    <t>Expenditure exc GST</t>
  </si>
  <si>
    <t>Cash Read</t>
  </si>
  <si>
    <t>Cash Collected</t>
  </si>
  <si>
    <t>Eftpos Collected</t>
  </si>
  <si>
    <t>Acc/smart Cards</t>
  </si>
  <si>
    <t>GST Read</t>
  </si>
  <si>
    <t>Main Cafe Total</t>
  </si>
  <si>
    <t xml:space="preserve">   +/- over under Cash</t>
  </si>
  <si>
    <t>Total Inc GST</t>
  </si>
  <si>
    <t>CC Read</t>
  </si>
  <si>
    <t>Catering on the same day</t>
  </si>
  <si>
    <t>Amount</t>
  </si>
  <si>
    <t>Customer</t>
  </si>
  <si>
    <t>Invoice number</t>
  </si>
  <si>
    <t xml:space="preserve">   +/- over under CC</t>
  </si>
  <si>
    <t>should be $0</t>
  </si>
  <si>
    <t>Bank branch</t>
  </si>
  <si>
    <t>Time</t>
  </si>
  <si>
    <t>:</t>
  </si>
  <si>
    <t>Reciept</t>
  </si>
  <si>
    <t>Banking details</t>
  </si>
  <si>
    <t>Name of Staff</t>
  </si>
  <si>
    <t>Amount deposited</t>
  </si>
  <si>
    <t>Today Total income</t>
  </si>
  <si>
    <t>TOTAL $ in SAFE</t>
  </si>
  <si>
    <t>Credit Cards Reconcile</t>
  </si>
  <si>
    <t>INVOICES PAID Cash</t>
  </si>
  <si>
    <t>To be reconciled in MYOB BY FINANACE OFFICE</t>
  </si>
  <si>
    <t xml:space="preserve">Zouki Westmead </t>
  </si>
  <si>
    <t>Last Month Safe Total</t>
  </si>
  <si>
    <t>Banking Details</t>
  </si>
  <si>
    <t>Month to Date exc GST</t>
  </si>
  <si>
    <t>Tills trend</t>
  </si>
  <si>
    <r>
      <t xml:space="preserve">Till  2 Coffee Right </t>
    </r>
    <r>
      <rPr>
        <sz val="28"/>
        <color theme="5"/>
        <rFont val="Arial Black"/>
        <family val="2"/>
      </rPr>
      <t>Bills</t>
    </r>
  </si>
  <si>
    <t>Catering paid for aged invoices</t>
  </si>
  <si>
    <t>Cash</t>
  </si>
  <si>
    <t>Credit Card</t>
  </si>
  <si>
    <t>Catering paid for Today and Future</t>
  </si>
  <si>
    <t>Catering past inv</t>
  </si>
  <si>
    <t>All catering</t>
  </si>
  <si>
    <t>use till coffee right only</t>
  </si>
  <si>
    <t>Catering served today not paid</t>
  </si>
  <si>
    <t>Westend</t>
  </si>
  <si>
    <t>westend coffee</t>
  </si>
  <si>
    <t xml:space="preserve">westend hotfood </t>
  </si>
  <si>
    <t xml:space="preserve">zatar and dough </t>
  </si>
  <si>
    <t>patrick inv 244536</t>
  </si>
  <si>
    <t>patrickinv 244848</t>
  </si>
  <si>
    <t xml:space="preserve">parking </t>
  </si>
  <si>
    <t>patricikb 245127</t>
  </si>
  <si>
    <t>patricks inv 245127</t>
  </si>
  <si>
    <t>patrikinv 244760</t>
  </si>
  <si>
    <t xml:space="preserve">little inida </t>
  </si>
  <si>
    <t>bunnings</t>
  </si>
  <si>
    <t>elite 0034057</t>
  </si>
  <si>
    <t>pendle meat 71572</t>
  </si>
  <si>
    <t>pendle meat 71573</t>
  </si>
  <si>
    <t>steglles 137626-3</t>
  </si>
  <si>
    <t xml:space="preserve">jerome zouki </t>
  </si>
  <si>
    <t>pendle meat 71575</t>
  </si>
  <si>
    <t>coles</t>
  </si>
  <si>
    <t>patrickinv 246312</t>
  </si>
  <si>
    <t>patricks inv 245722</t>
  </si>
  <si>
    <t>patricks inv 246031</t>
  </si>
  <si>
    <t>patricks inv 246404</t>
  </si>
  <si>
    <t>patrickinv 246658</t>
  </si>
  <si>
    <t>steggles 138123-3</t>
  </si>
  <si>
    <t>patrickinv 247039</t>
  </si>
  <si>
    <t>p</t>
  </si>
  <si>
    <t>steggles 138079-3</t>
  </si>
  <si>
    <t xml:space="preserve">vodafone </t>
  </si>
  <si>
    <t xml:space="preserve">elite </t>
  </si>
  <si>
    <t xml:space="preserve"> </t>
  </si>
  <si>
    <t>pendle meat71578</t>
  </si>
  <si>
    <t>steggles 06589-4</t>
  </si>
  <si>
    <t>posh inv 279431</t>
  </si>
  <si>
    <t>patrickinb 245358</t>
  </si>
  <si>
    <t xml:space="preserve">qantas </t>
  </si>
  <si>
    <t xml:space="preserve">jetstar </t>
  </si>
  <si>
    <t>pendle meat 71581</t>
  </si>
  <si>
    <t>patrick inv 247576</t>
  </si>
  <si>
    <t>patrick inv 248203</t>
  </si>
  <si>
    <t xml:space="preserve">westmead pertol </t>
  </si>
  <si>
    <t>patrickinv 247663</t>
  </si>
  <si>
    <t>patrickinv 247982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</si>
</sst>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F800]dddd\,\ mmmm\ dd\,\ yyyy"/>
    <numFmt numFmtId="168" formatCode="0.0%"/>
    <numFmt numFmtId="169" formatCode="[$-14809]dddd\,\ d\ mmmm\,\ yyyy;@"/>
    <numFmt numFmtId="170" formatCode="[$-1409]dddd\,\ d\ mmmm\ yyyy;@"/>
    <numFmt numFmtId="171" formatCode="0.0000%"/>
    <numFmt numFmtId="172" formatCode="_(* #,##0_);_(* \(#,##0\);_(* &quot;-&quot;??_);_(@_)"/>
    <numFmt numFmtId="173" formatCode="[$-409]d\-mmm;@"/>
  </numFmts>
  <fonts count="73">
    <font>
      <sz val="10"/>
      <name val="Arial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18"/>
      <name val="Arial"/>
      <family val="2"/>
    </font>
    <font>
      <b/>
      <sz val="10"/>
      <color indexed="9"/>
      <name val="Times New Roman"/>
      <family val="1"/>
    </font>
    <font>
      <b/>
      <sz val="10"/>
      <name val="Arial"/>
      <family val="2"/>
    </font>
    <font>
      <sz val="8"/>
      <name val="Arial"/>
      <family val="2"/>
    </font>
    <font>
      <sz val="9"/>
      <color indexed="22"/>
      <name val="Arial"/>
      <family val="2"/>
    </font>
    <font>
      <sz val="8"/>
      <color indexed="2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20"/>
      <color indexed="9"/>
      <name val="Arial"/>
      <family val="2"/>
    </font>
    <font>
      <sz val="10"/>
      <name val="Verdana"/>
      <family val="2"/>
    </font>
    <font>
      <sz val="10"/>
      <name val="Verdana"/>
      <family val="2"/>
    </font>
    <font>
      <b/>
      <sz val="28"/>
      <name val="Arial"/>
      <family val="2"/>
    </font>
    <font>
      <sz val="9"/>
      <name val="Verdana"/>
      <family val="2"/>
    </font>
    <font>
      <b/>
      <sz val="10"/>
      <name val="Arial"/>
      <family val="2"/>
    </font>
    <font>
      <b/>
      <sz val="26"/>
      <name val="Arial"/>
      <family val="2"/>
    </font>
    <font>
      <sz val="20"/>
      <color rgb="FFFF0000"/>
      <name val="Arial"/>
      <family val="2"/>
    </font>
    <font>
      <b/>
      <sz val="26"/>
      <color theme="2" tint="-0.749992370372631"/>
      <name val="Arial"/>
      <family val="2"/>
    </font>
    <font>
      <b/>
      <i/>
      <sz val="20"/>
      <color theme="2" tint="-0.749992370372631"/>
      <name val="Arial"/>
      <family val="2"/>
    </font>
    <font>
      <sz val="16"/>
      <color theme="3" tint="-0.499984740745262"/>
      <name val="Arial Black"/>
      <family val="2"/>
    </font>
    <font>
      <sz val="10"/>
      <color theme="3" tint="-0.499984740745262"/>
      <name val="Arial Black"/>
      <family val="2"/>
    </font>
    <font>
      <sz val="28"/>
      <color rgb="FF002060"/>
      <name val="Arial"/>
      <family val="2"/>
    </font>
    <font>
      <sz val="18"/>
      <color rgb="FF002060"/>
      <name val="Arial Black"/>
      <family val="2"/>
    </font>
    <font>
      <sz val="8"/>
      <color theme="0"/>
      <name val="Arial"/>
      <family val="2"/>
    </font>
    <font>
      <sz val="8"/>
      <color theme="1" tint="0.499984740745262"/>
      <name val="Arial"/>
      <family val="2"/>
    </font>
    <font>
      <sz val="8"/>
      <color theme="0" tint="-0.34998626667073579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8"/>
      <color theme="0" tint="-4.9989318521683403E-2"/>
      <name val="Arial"/>
      <family val="2"/>
    </font>
    <font>
      <sz val="14"/>
      <color rgb="FFFF0000"/>
      <name val="Arial"/>
      <family val="2"/>
    </font>
    <font>
      <sz val="16"/>
      <color rgb="FF00B050"/>
      <name val="Arial Black"/>
      <family val="2"/>
    </font>
    <font>
      <sz val="12"/>
      <color theme="3" tint="-0.499984740745262"/>
      <name val="Arial Black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36"/>
      <name val="Arial"/>
      <family val="2"/>
    </font>
    <font>
      <sz val="36"/>
      <name val="Arial"/>
      <family val="2"/>
    </font>
    <font>
      <b/>
      <i/>
      <sz val="36"/>
      <color theme="2" tint="-0.749992370372631"/>
      <name val="Arial"/>
      <family val="2"/>
    </font>
    <font>
      <sz val="36"/>
      <color rgb="FFFF0000"/>
      <name val="Arial"/>
      <family val="2"/>
    </font>
    <font>
      <b/>
      <sz val="36"/>
      <color indexed="10"/>
      <name val="Arial"/>
      <family val="2"/>
    </font>
    <font>
      <sz val="28"/>
      <color theme="3" tint="-0.499984740745262"/>
      <name val="Arial Black"/>
      <family val="2"/>
    </font>
    <font>
      <sz val="28"/>
      <name val="Arial Black"/>
      <family val="2"/>
    </font>
    <font>
      <sz val="12"/>
      <name val="Arial Black"/>
      <family val="2"/>
    </font>
    <font>
      <sz val="14"/>
      <color theme="3" tint="-0.499984740745262"/>
      <name val="Arial Black"/>
      <family val="2"/>
    </font>
    <font>
      <b/>
      <sz val="10"/>
      <color theme="3" tint="-0.499984740745262"/>
      <name val="Arial Black"/>
      <family val="2"/>
    </font>
    <font>
      <sz val="36"/>
      <color theme="6" tint="-0.249977111117893"/>
      <name val="Bradley Hand ITC"/>
      <family val="4"/>
    </font>
    <font>
      <b/>
      <sz val="20"/>
      <color theme="1"/>
      <name val="Arial Black"/>
      <family val="2"/>
    </font>
    <font>
      <b/>
      <sz val="20"/>
      <color indexed="8"/>
      <name val="Arial Black"/>
      <family val="2"/>
    </font>
    <font>
      <b/>
      <sz val="24"/>
      <name val="Arial"/>
      <family val="2"/>
    </font>
    <font>
      <b/>
      <sz val="48"/>
      <color theme="6" tint="-0.249977111117893"/>
      <name val="Belwe Lt BT"/>
      <family val="1"/>
    </font>
    <font>
      <sz val="24"/>
      <color rgb="FFFF0000"/>
      <name val="Arial"/>
      <family val="2"/>
    </font>
    <font>
      <b/>
      <sz val="12"/>
      <color theme="3" tint="-0.499984740745262"/>
      <name val="Arial Black"/>
      <family val="2"/>
    </font>
    <font>
      <sz val="10"/>
      <name val="Arial Black"/>
      <family val="2"/>
    </font>
    <font>
      <b/>
      <sz val="12"/>
      <name val="Arial Black"/>
      <family val="2"/>
    </font>
    <font>
      <b/>
      <sz val="9"/>
      <color rgb="FFFF0000"/>
      <name val="Arial"/>
      <family val="2"/>
    </font>
    <font>
      <b/>
      <sz val="36"/>
      <color rgb="FFFF0000"/>
      <name val="Arial"/>
      <family val="2"/>
    </font>
    <font>
      <sz val="28"/>
      <color theme="5"/>
      <name val="Arial Black"/>
      <family val="2"/>
    </font>
    <font>
      <sz val="36"/>
      <color theme="5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4" fillId="0" borderId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166" fontId="46" fillId="0" borderId="0" applyFont="0" applyFill="0" applyBorder="0" applyAlignment="0" applyProtection="0"/>
  </cellStyleXfs>
  <cellXfs count="760">
    <xf numFmtId="0" fontId="0" fillId="0" borderId="0" xfId="0"/>
    <xf numFmtId="0" fontId="2" fillId="0" borderId="0" xfId="0" applyFont="1" applyAlignment="1">
      <alignment shrinkToFit="1"/>
    </xf>
    <xf numFmtId="0" fontId="2" fillId="2" borderId="0" xfId="0" applyFont="1" applyFill="1" applyAlignment="1">
      <alignment shrinkToFit="1"/>
    </xf>
    <xf numFmtId="44" fontId="2" fillId="2" borderId="0" xfId="1" applyFont="1" applyFill="1" applyAlignment="1">
      <alignment shrinkToFit="1"/>
    </xf>
    <xf numFmtId="0" fontId="7" fillId="0" borderId="0" xfId="0" applyFont="1" applyAlignment="1">
      <alignment horizontal="center" shrinkToFit="1"/>
    </xf>
    <xf numFmtId="44" fontId="3" fillId="0" borderId="0" xfId="1" applyFont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44" fontId="3" fillId="0" borderId="1" xfId="1" applyFont="1" applyBorder="1" applyAlignment="1">
      <alignment horizontal="center" shrinkToFit="1"/>
    </xf>
    <xf numFmtId="44" fontId="7" fillId="0" borderId="1" xfId="1" applyFont="1" applyBorder="1" applyAlignment="1">
      <alignment horizontal="center" shrinkToFit="1"/>
    </xf>
    <xf numFmtId="0" fontId="13" fillId="3" borderId="2" xfId="0" applyFont="1" applyFill="1" applyBorder="1" applyAlignment="1">
      <alignment horizontal="center" shrinkToFit="1"/>
    </xf>
    <xf numFmtId="44" fontId="3" fillId="3" borderId="2" xfId="1" applyFont="1" applyFill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44" fontId="3" fillId="0" borderId="3" xfId="1" applyFont="1" applyBorder="1" applyAlignment="1">
      <alignment horizontal="center" shrinkToFit="1"/>
    </xf>
    <xf numFmtId="0" fontId="13" fillId="3" borderId="2" xfId="0" applyFont="1" applyFill="1" applyBorder="1" applyAlignment="1">
      <alignment horizontal="left" shrinkToFit="1"/>
    </xf>
    <xf numFmtId="0" fontId="13" fillId="3" borderId="1" xfId="0" applyFont="1" applyFill="1" applyBorder="1" applyAlignment="1">
      <alignment horizontal="center" shrinkToFit="1"/>
    </xf>
    <xf numFmtId="44" fontId="3" fillId="3" borderId="1" xfId="1" applyFont="1" applyFill="1" applyBorder="1" applyAlignment="1">
      <alignment horizontal="center" shrinkToFit="1"/>
    </xf>
    <xf numFmtId="49" fontId="15" fillId="4" borderId="4" xfId="0" applyNumberFormat="1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168" fontId="15" fillId="4" borderId="0" xfId="4" applyNumberFormat="1" applyFont="1" applyFill="1" applyAlignment="1">
      <alignment horizontal="center"/>
    </xf>
    <xf numFmtId="44" fontId="15" fillId="4" borderId="0" xfId="1" applyFont="1" applyFill="1" applyAlignment="1">
      <alignment horizontal="center"/>
    </xf>
    <xf numFmtId="9" fontId="15" fillId="4" borderId="0" xfId="4" applyFont="1" applyFill="1" applyAlignment="1">
      <alignment horizontal="center"/>
    </xf>
    <xf numFmtId="0" fontId="16" fillId="0" borderId="0" xfId="0" applyFont="1" applyAlignment="1">
      <alignment horizontal="center"/>
    </xf>
    <xf numFmtId="0" fontId="10" fillId="0" borderId="0" xfId="0" applyFont="1"/>
    <xf numFmtId="164" fontId="10" fillId="0" borderId="3" xfId="0" applyNumberFormat="1" applyFont="1" applyBorder="1"/>
    <xf numFmtId="168" fontId="17" fillId="0" borderId="3" xfId="4" applyNumberFormat="1" applyFont="1" applyBorder="1"/>
    <xf numFmtId="44" fontId="17" fillId="3" borderId="3" xfId="1" applyFont="1" applyFill="1" applyBorder="1"/>
    <xf numFmtId="9" fontId="17" fillId="0" borderId="1" xfId="4" applyFont="1" applyBorder="1"/>
    <xf numFmtId="0" fontId="17" fillId="0" borderId="0" xfId="0" applyFont="1"/>
    <xf numFmtId="164" fontId="10" fillId="0" borderId="1" xfId="0" applyNumberFormat="1" applyFont="1" applyBorder="1"/>
    <xf numFmtId="168" fontId="17" fillId="0" borderId="1" xfId="4" applyNumberFormat="1" applyFont="1" applyBorder="1"/>
    <xf numFmtId="44" fontId="17" fillId="3" borderId="1" xfId="1" applyFont="1" applyFill="1" applyBorder="1"/>
    <xf numFmtId="44" fontId="0" fillId="3" borderId="1" xfId="1" applyFont="1" applyFill="1" applyBorder="1"/>
    <xf numFmtId="164" fontId="0" fillId="0" borderId="0" xfId="0" applyNumberFormat="1"/>
    <xf numFmtId="164" fontId="10" fillId="0" borderId="2" xfId="0" applyNumberFormat="1" applyFont="1" applyBorder="1"/>
    <xf numFmtId="164" fontId="10" fillId="5" borderId="5" xfId="0" applyNumberFormat="1" applyFont="1" applyFill="1" applyBorder="1"/>
    <xf numFmtId="168" fontId="0" fillId="5" borderId="6" xfId="4" applyNumberFormat="1" applyFont="1" applyFill="1" applyBorder="1"/>
    <xf numFmtId="164" fontId="10" fillId="5" borderId="6" xfId="0" applyNumberFormat="1" applyFont="1" applyFill="1" applyBorder="1"/>
    <xf numFmtId="44" fontId="0" fillId="5" borderId="6" xfId="1" applyFont="1" applyFill="1" applyBorder="1"/>
    <xf numFmtId="9" fontId="0" fillId="5" borderId="6" xfId="4" applyFont="1" applyFill="1" applyBorder="1"/>
    <xf numFmtId="164" fontId="10" fillId="5" borderId="7" xfId="0" applyNumberFormat="1" applyFont="1" applyFill="1" applyBorder="1"/>
    <xf numFmtId="168" fontId="17" fillId="5" borderId="8" xfId="4" applyNumberFormat="1" applyFont="1" applyFill="1" applyBorder="1"/>
    <xf numFmtId="164" fontId="10" fillId="5" borderId="8" xfId="0" applyNumberFormat="1" applyFont="1" applyFill="1" applyBorder="1"/>
    <xf numFmtId="44" fontId="17" fillId="5" borderId="8" xfId="1" applyFont="1" applyFill="1" applyBorder="1"/>
    <xf numFmtId="9" fontId="17" fillId="5" borderId="8" xfId="4" applyFont="1" applyFill="1" applyBorder="1"/>
    <xf numFmtId="9" fontId="17" fillId="0" borderId="3" xfId="4" applyFont="1" applyBorder="1"/>
    <xf numFmtId="44" fontId="17" fillId="0" borderId="1" xfId="1" applyFont="1" applyBorder="1"/>
    <xf numFmtId="168" fontId="19" fillId="5" borderId="9" xfId="4" applyNumberFormat="1" applyFont="1" applyFill="1" applyBorder="1"/>
    <xf numFmtId="9" fontId="18" fillId="5" borderId="9" xfId="4" applyFont="1" applyFill="1" applyBorder="1"/>
    <xf numFmtId="44" fontId="19" fillId="5" borderId="9" xfId="1" applyFont="1" applyFill="1" applyBorder="1"/>
    <xf numFmtId="9" fontId="19" fillId="5" borderId="9" xfId="4" applyFont="1" applyFill="1" applyBorder="1"/>
    <xf numFmtId="9" fontId="10" fillId="0" borderId="1" xfId="4" applyFont="1" applyBorder="1"/>
    <xf numFmtId="168" fontId="17" fillId="5" borderId="6" xfId="4" applyNumberFormat="1" applyFont="1" applyFill="1" applyBorder="1"/>
    <xf numFmtId="44" fontId="17" fillId="5" borderId="6" xfId="1" applyFont="1" applyFill="1" applyBorder="1"/>
    <xf numFmtId="9" fontId="17" fillId="5" borderId="6" xfId="4" applyFont="1" applyFill="1" applyBorder="1"/>
    <xf numFmtId="164" fontId="18" fillId="5" borderId="10" xfId="0" applyNumberFormat="1" applyFont="1" applyFill="1" applyBorder="1"/>
    <xf numFmtId="164" fontId="18" fillId="5" borderId="9" xfId="0" applyNumberFormat="1" applyFont="1" applyFill="1" applyBorder="1"/>
    <xf numFmtId="9" fontId="17" fillId="0" borderId="2" xfId="4" applyFont="1" applyBorder="1"/>
    <xf numFmtId="44" fontId="17" fillId="0" borderId="2" xfId="1" applyFont="1" applyBorder="1"/>
    <xf numFmtId="168" fontId="17" fillId="0" borderId="2" xfId="4" applyNumberFormat="1" applyFont="1" applyBorder="1"/>
    <xf numFmtId="164" fontId="10" fillId="5" borderId="10" xfId="0" applyNumberFormat="1" applyFont="1" applyFill="1" applyBorder="1"/>
    <xf numFmtId="168" fontId="17" fillId="5" borderId="9" xfId="4" applyNumberFormat="1" applyFont="1" applyFill="1" applyBorder="1"/>
    <xf numFmtId="164" fontId="10" fillId="5" borderId="9" xfId="0" applyNumberFormat="1" applyFont="1" applyFill="1" applyBorder="1"/>
    <xf numFmtId="44" fontId="17" fillId="5" borderId="9" xfId="1" applyFont="1" applyFill="1" applyBorder="1"/>
    <xf numFmtId="9" fontId="17" fillId="5" borderId="9" xfId="4" applyFont="1" applyFill="1" applyBorder="1"/>
    <xf numFmtId="44" fontId="17" fillId="0" borderId="3" xfId="1" applyFont="1" applyBorder="1"/>
    <xf numFmtId="164" fontId="10" fillId="0" borderId="0" xfId="0" applyNumberFormat="1" applyFont="1"/>
    <xf numFmtId="168" fontId="17" fillId="0" borderId="0" xfId="4" applyNumberFormat="1" applyFont="1"/>
    <xf numFmtId="44" fontId="17" fillId="0" borderId="0" xfId="1" applyFont="1"/>
    <xf numFmtId="9" fontId="17" fillId="0" borderId="0" xfId="4" applyFont="1"/>
    <xf numFmtId="44" fontId="9" fillId="0" borderId="1" xfId="1" applyFont="1" applyBorder="1" applyAlignment="1">
      <alignment horizontal="center" shrinkToFit="1"/>
    </xf>
    <xf numFmtId="0" fontId="9" fillId="0" borderId="0" xfId="0" applyFont="1" applyAlignment="1">
      <alignment horizontal="center" shrinkToFit="1"/>
    </xf>
    <xf numFmtId="9" fontId="10" fillId="0" borderId="0" xfId="4" applyFont="1" applyAlignment="1">
      <alignment horizontal="center" shrinkToFit="1"/>
    </xf>
    <xf numFmtId="9" fontId="10" fillId="0" borderId="1" xfId="4" applyFont="1" applyBorder="1" applyAlignment="1">
      <alignment horizontal="center" shrinkToFit="1"/>
    </xf>
    <xf numFmtId="44" fontId="12" fillId="0" borderId="1" xfId="4" applyNumberFormat="1" applyFont="1" applyBorder="1" applyAlignment="1">
      <alignment horizontal="center" shrinkToFit="1"/>
    </xf>
    <xf numFmtId="44" fontId="8" fillId="6" borderId="10" xfId="4" applyNumberFormat="1" applyFont="1" applyFill="1" applyBorder="1" applyAlignment="1">
      <alignment horizontal="center" shrinkToFit="1"/>
    </xf>
    <xf numFmtId="9" fontId="10" fillId="3" borderId="2" xfId="4" applyFont="1" applyFill="1" applyBorder="1" applyAlignment="1">
      <alignment horizontal="center" shrinkToFit="1"/>
    </xf>
    <xf numFmtId="44" fontId="12" fillId="3" borderId="2" xfId="4" applyNumberFormat="1" applyFont="1" applyFill="1" applyBorder="1" applyAlignment="1">
      <alignment horizontal="center" shrinkToFit="1"/>
    </xf>
    <xf numFmtId="44" fontId="8" fillId="3" borderId="5" xfId="4" applyNumberFormat="1" applyFont="1" applyFill="1" applyBorder="1" applyAlignment="1">
      <alignment horizontal="center" shrinkToFit="1"/>
    </xf>
    <xf numFmtId="9" fontId="10" fillId="0" borderId="3" xfId="4" applyFont="1" applyBorder="1" applyAlignment="1">
      <alignment horizontal="center" shrinkToFit="1"/>
    </xf>
    <xf numFmtId="44" fontId="12" fillId="0" borderId="3" xfId="4" applyNumberFormat="1" applyFont="1" applyBorder="1" applyAlignment="1">
      <alignment horizontal="center" shrinkToFit="1"/>
    </xf>
    <xf numFmtId="44" fontId="8" fillId="6" borderId="7" xfId="4" applyNumberFormat="1" applyFont="1" applyFill="1" applyBorder="1" applyAlignment="1">
      <alignment horizontal="center" shrinkToFit="1"/>
    </xf>
    <xf numFmtId="44" fontId="9" fillId="0" borderId="0" xfId="0" applyNumberFormat="1" applyFont="1" applyAlignment="1">
      <alignment horizontal="center" shrinkToFit="1"/>
    </xf>
    <xf numFmtId="44" fontId="12" fillId="0" borderId="1" xfId="1" applyFont="1" applyBorder="1" applyAlignment="1">
      <alignment horizontal="center" shrinkToFit="1"/>
    </xf>
    <xf numFmtId="9" fontId="10" fillId="3" borderId="1" xfId="4" applyFont="1" applyFill="1" applyBorder="1" applyAlignment="1">
      <alignment horizontal="center" shrinkToFit="1"/>
    </xf>
    <xf numFmtId="44" fontId="12" fillId="3" borderId="1" xfId="4" applyNumberFormat="1" applyFont="1" applyFill="1" applyBorder="1" applyAlignment="1">
      <alignment horizontal="center" shrinkToFit="1"/>
    </xf>
    <xf numFmtId="44" fontId="8" fillId="3" borderId="10" xfId="4" applyNumberFormat="1" applyFont="1" applyFill="1" applyBorder="1" applyAlignment="1">
      <alignment horizontal="center" shrinkToFit="1"/>
    </xf>
    <xf numFmtId="44" fontId="17" fillId="7" borderId="1" xfId="1" applyFont="1" applyFill="1" applyBorder="1"/>
    <xf numFmtId="164" fontId="10" fillId="0" borderId="1" xfId="4" applyNumberFormat="1" applyFont="1" applyBorder="1"/>
    <xf numFmtId="0" fontId="10" fillId="3" borderId="0" xfId="0" applyFont="1" applyFill="1"/>
    <xf numFmtId="9" fontId="17" fillId="0" borderId="10" xfId="4" applyFont="1" applyBorder="1"/>
    <xf numFmtId="0" fontId="6" fillId="5" borderId="0" xfId="0" applyFont="1" applyFill="1"/>
    <xf numFmtId="0" fontId="8" fillId="5" borderId="0" xfId="0" applyFont="1" applyFill="1"/>
    <xf numFmtId="10" fontId="10" fillId="0" borderId="2" xfId="0" applyNumberFormat="1" applyFont="1" applyBorder="1"/>
    <xf numFmtId="9" fontId="17" fillId="0" borderId="7" xfId="4" applyFont="1" applyBorder="1"/>
    <xf numFmtId="2" fontId="16" fillId="0" borderId="0" xfId="0" applyNumberFormat="1" applyFont="1" applyAlignment="1">
      <alignment horizontal="center"/>
    </xf>
    <xf numFmtId="2" fontId="10" fillId="0" borderId="0" xfId="0" applyNumberFormat="1" applyFont="1"/>
    <xf numFmtId="2" fontId="17" fillId="0" borderId="0" xfId="0" applyNumberFormat="1" applyFont="1"/>
    <xf numFmtId="2" fontId="10" fillId="0" borderId="11" xfId="0" applyNumberFormat="1" applyFont="1" applyBorder="1"/>
    <xf numFmtId="2" fontId="18" fillId="0" borderId="11" xfId="4" applyNumberFormat="1" applyFont="1" applyBorder="1"/>
    <xf numFmtId="2" fontId="10" fillId="0" borderId="11" xfId="4" applyNumberFormat="1" applyFont="1" applyBorder="1"/>
    <xf numFmtId="2" fontId="17" fillId="0" borderId="11" xfId="0" applyNumberFormat="1" applyFont="1" applyBorder="1"/>
    <xf numFmtId="10" fontId="10" fillId="0" borderId="11" xfId="0" applyNumberFormat="1" applyFont="1" applyBorder="1"/>
    <xf numFmtId="10" fontId="10" fillId="0" borderId="11" xfId="4" applyNumberFormat="1" applyFont="1" applyBorder="1"/>
    <xf numFmtId="168" fontId="17" fillId="0" borderId="0" xfId="0" applyNumberFormat="1" applyFont="1"/>
    <xf numFmtId="0" fontId="22" fillId="0" borderId="0" xfId="0" applyFont="1" applyAlignment="1">
      <alignment shrinkToFit="1"/>
    </xf>
    <xf numFmtId="44" fontId="22" fillId="0" borderId="0" xfId="1" applyFont="1" applyAlignment="1">
      <alignment shrinkToFit="1"/>
    </xf>
    <xf numFmtId="0" fontId="21" fillId="0" borderId="0" xfId="0" applyFont="1" applyAlignment="1">
      <alignment shrinkToFit="1"/>
    </xf>
    <xf numFmtId="44" fontId="23" fillId="0" borderId="0" xfId="0" applyNumberFormat="1" applyFont="1" applyAlignment="1">
      <alignment shrinkToFit="1"/>
    </xf>
    <xf numFmtId="44" fontId="22" fillId="8" borderId="1" xfId="1" applyFont="1" applyFill="1" applyBorder="1" applyAlignment="1">
      <alignment shrinkToFit="1"/>
    </xf>
    <xf numFmtId="167" fontId="21" fillId="0" borderId="0" xfId="0" applyNumberFormat="1" applyFont="1" applyAlignment="1">
      <alignment shrinkToFit="1"/>
    </xf>
    <xf numFmtId="167" fontId="26" fillId="0" borderId="0" xfId="0" applyNumberFormat="1" applyFont="1" applyAlignment="1">
      <alignment shrinkToFit="1"/>
    </xf>
    <xf numFmtId="169" fontId="0" fillId="0" borderId="0" xfId="0" applyNumberFormat="1" applyAlignment="1">
      <alignment horizontal="center" wrapText="1" shrinkToFit="1"/>
    </xf>
    <xf numFmtId="169" fontId="35" fillId="0" borderId="0" xfId="0" applyNumberFormat="1" applyFont="1" applyAlignment="1">
      <alignment horizontal="center" wrapText="1" shrinkToFit="1"/>
    </xf>
    <xf numFmtId="9" fontId="5" fillId="12" borderId="0" xfId="4" applyFont="1" applyFill="1" applyAlignment="1">
      <alignment horizontal="center" shrinkToFit="1"/>
    </xf>
    <xf numFmtId="9" fontId="5" fillId="13" borderId="0" xfId="4" applyFont="1" applyFill="1" applyAlignment="1">
      <alignment horizontal="center" shrinkToFit="1"/>
    </xf>
    <xf numFmtId="44" fontId="3" fillId="14" borderId="0" xfId="1" applyFont="1" applyFill="1" applyAlignment="1">
      <alignment horizontal="center" shrinkToFit="1"/>
    </xf>
    <xf numFmtId="44" fontId="10" fillId="0" borderId="1" xfId="1" applyFont="1" applyBorder="1"/>
    <xf numFmtId="164" fontId="10" fillId="8" borderId="1" xfId="0" applyNumberFormat="1" applyFont="1" applyFill="1" applyBorder="1"/>
    <xf numFmtId="168" fontId="17" fillId="8" borderId="1" xfId="4" applyNumberFormat="1" applyFont="1" applyFill="1" applyBorder="1"/>
    <xf numFmtId="164" fontId="10" fillId="8" borderId="2" xfId="0" applyNumberFormat="1" applyFont="1" applyFill="1" applyBorder="1"/>
    <xf numFmtId="164" fontId="10" fillId="0" borderId="20" xfId="0" applyNumberFormat="1" applyFont="1" applyBorder="1"/>
    <xf numFmtId="168" fontId="37" fillId="0" borderId="1" xfId="4" applyNumberFormat="1" applyFont="1" applyBorder="1"/>
    <xf numFmtId="168" fontId="37" fillId="8" borderId="1" xfId="4" applyNumberFormat="1" applyFont="1" applyFill="1" applyBorder="1"/>
    <xf numFmtId="168" fontId="38" fillId="0" borderId="2" xfId="4" applyNumberFormat="1" applyFont="1" applyBorder="1"/>
    <xf numFmtId="168" fontId="37" fillId="5" borderId="9" xfId="4" applyNumberFormat="1" applyFont="1" applyFill="1" applyBorder="1"/>
    <xf numFmtId="168" fontId="39" fillId="0" borderId="1" xfId="4" applyNumberFormat="1" applyFont="1" applyBorder="1"/>
    <xf numFmtId="168" fontId="39" fillId="8" borderId="1" xfId="4" applyNumberFormat="1" applyFont="1" applyFill="1" applyBorder="1"/>
    <xf numFmtId="168" fontId="40" fillId="8" borderId="1" xfId="4" applyNumberFormat="1" applyFont="1" applyFill="1" applyBorder="1"/>
    <xf numFmtId="44" fontId="17" fillId="17" borderId="1" xfId="1" applyFont="1" applyFill="1" applyBorder="1"/>
    <xf numFmtId="9" fontId="37" fillId="0" borderId="10" xfId="4" applyFont="1" applyBorder="1"/>
    <xf numFmtId="0" fontId="8" fillId="0" borderId="10" xfId="0" applyFont="1" applyBorder="1" applyAlignment="1">
      <alignment horizontal="center" shrinkToFit="1"/>
    </xf>
    <xf numFmtId="44" fontId="17" fillId="17" borderId="3" xfId="1" applyFont="1" applyFill="1" applyBorder="1"/>
    <xf numFmtId="168" fontId="42" fillId="9" borderId="1" xfId="4" applyNumberFormat="1" applyFont="1" applyFill="1" applyBorder="1"/>
    <xf numFmtId="9" fontId="42" fillId="8" borderId="2" xfId="4" applyFont="1" applyFill="1" applyBorder="1"/>
    <xf numFmtId="0" fontId="43" fillId="0" borderId="0" xfId="0" applyFont="1"/>
    <xf numFmtId="164" fontId="41" fillId="0" borderId="3" xfId="0" applyNumberFormat="1" applyFont="1" applyBorder="1"/>
    <xf numFmtId="9" fontId="41" fillId="0" borderId="1" xfId="4" applyFont="1" applyBorder="1"/>
    <xf numFmtId="44" fontId="40" fillId="0" borderId="3" xfId="1" applyFont="1" applyBorder="1"/>
    <xf numFmtId="9" fontId="40" fillId="0" borderId="1" xfId="4" applyFont="1" applyBorder="1"/>
    <xf numFmtId="44" fontId="40" fillId="0" borderId="1" xfId="1" applyFont="1" applyBorder="1"/>
    <xf numFmtId="44" fontId="20" fillId="19" borderId="1" xfId="1" applyFont="1" applyFill="1" applyBorder="1" applyAlignment="1">
      <alignment shrinkToFit="1"/>
    </xf>
    <xf numFmtId="0" fontId="0" fillId="0" borderId="0" xfId="0" applyAlignment="1">
      <alignment shrinkToFit="1"/>
    </xf>
    <xf numFmtId="44" fontId="3" fillId="14" borderId="0" xfId="1" applyFont="1" applyFill="1" applyAlignment="1">
      <alignment horizontal="right" shrinkToFit="1"/>
    </xf>
    <xf numFmtId="0" fontId="7" fillId="0" borderId="0" xfId="0" applyFont="1" applyAlignment="1">
      <alignment horizontal="right" shrinkToFit="1"/>
    </xf>
    <xf numFmtId="9" fontId="5" fillId="13" borderId="0" xfId="4" applyFont="1" applyFill="1" applyAlignment="1">
      <alignment horizontal="right" shrinkToFit="1"/>
    </xf>
    <xf numFmtId="0" fontId="8" fillId="12" borderId="0" xfId="0" applyFont="1" applyFill="1" applyAlignment="1">
      <alignment horizontal="right" shrinkToFit="1"/>
    </xf>
    <xf numFmtId="16" fontId="8" fillId="0" borderId="22" xfId="0" applyNumberFormat="1" applyFont="1" applyBorder="1" applyAlignment="1">
      <alignment horizontal="right" shrinkToFit="1"/>
    </xf>
    <xf numFmtId="44" fontId="3" fillId="3" borderId="2" xfId="1" applyFont="1" applyFill="1" applyBorder="1" applyAlignment="1">
      <alignment horizontal="right" shrinkToFit="1"/>
    </xf>
    <xf numFmtId="9" fontId="10" fillId="3" borderId="2" xfId="4" applyFont="1" applyFill="1" applyBorder="1" applyAlignment="1">
      <alignment horizontal="right" shrinkToFit="1"/>
    </xf>
    <xf numFmtId="44" fontId="12" fillId="3" borderId="2" xfId="4" applyNumberFormat="1" applyFont="1" applyFill="1" applyBorder="1" applyAlignment="1">
      <alignment horizontal="right" shrinkToFit="1"/>
    </xf>
    <xf numFmtId="44" fontId="8" fillId="3" borderId="5" xfId="4" applyNumberFormat="1" applyFont="1" applyFill="1" applyBorder="1" applyAlignment="1">
      <alignment horizontal="right" shrinkToFit="1"/>
    </xf>
    <xf numFmtId="44" fontId="22" fillId="8" borderId="3" xfId="1" applyFont="1" applyFill="1" applyBorder="1" applyAlignment="1">
      <alignment shrinkToFit="1"/>
    </xf>
    <xf numFmtId="44" fontId="22" fillId="8" borderId="27" xfId="1" applyFont="1" applyFill="1" applyBorder="1" applyAlignment="1">
      <alignment shrinkToFit="1"/>
    </xf>
    <xf numFmtId="0" fontId="0" fillId="8" borderId="0" xfId="0" applyFill="1"/>
    <xf numFmtId="44" fontId="22" fillId="18" borderId="1" xfId="1" applyFont="1" applyFill="1" applyBorder="1" applyAlignment="1">
      <alignment shrinkToFit="1"/>
    </xf>
    <xf numFmtId="44" fontId="22" fillId="8" borderId="0" xfId="1" applyFont="1" applyFill="1" applyAlignment="1">
      <alignment shrinkToFit="1"/>
    </xf>
    <xf numFmtId="0" fontId="6" fillId="0" borderId="0" xfId="0" applyFont="1"/>
    <xf numFmtId="44" fontId="22" fillId="0" borderId="1" xfId="1" applyFont="1" applyBorder="1" applyAlignment="1">
      <alignment shrinkToFit="1"/>
    </xf>
    <xf numFmtId="44" fontId="22" fillId="19" borderId="1" xfId="1" applyFont="1" applyFill="1" applyBorder="1" applyAlignment="1">
      <alignment shrinkToFit="1"/>
    </xf>
    <xf numFmtId="44" fontId="21" fillId="0" borderId="0" xfId="1" applyFont="1" applyAlignment="1">
      <alignment shrinkToFit="1"/>
    </xf>
    <xf numFmtId="44" fontId="10" fillId="18" borderId="1" xfId="1" applyFont="1" applyFill="1" applyBorder="1"/>
    <xf numFmtId="44" fontId="10" fillId="18" borderId="2" xfId="1" applyFont="1" applyFill="1" applyBorder="1"/>
    <xf numFmtId="44" fontId="22" fillId="0" borderId="3" xfId="1" applyFont="1" applyBorder="1" applyAlignment="1">
      <alignment shrinkToFit="1"/>
    </xf>
    <xf numFmtId="44" fontId="10" fillId="0" borderId="3" xfId="1" applyFont="1" applyBorder="1"/>
    <xf numFmtId="0" fontId="11" fillId="5" borderId="19" xfId="0" applyFont="1" applyFill="1" applyBorder="1" applyAlignment="1">
      <alignment horizontal="left" shrinkToFit="1"/>
    </xf>
    <xf numFmtId="44" fontId="10" fillId="11" borderId="31" xfId="1" applyFont="1" applyFill="1" applyBorder="1"/>
    <xf numFmtId="44" fontId="22" fillId="11" borderId="31" xfId="1" applyFont="1" applyFill="1" applyBorder="1" applyAlignment="1">
      <alignment shrinkToFit="1"/>
    </xf>
    <xf numFmtId="44" fontId="22" fillId="11" borderId="32" xfId="1" applyFont="1" applyFill="1" applyBorder="1" applyAlignment="1">
      <alignment shrinkToFit="1"/>
    </xf>
    <xf numFmtId="44" fontId="10" fillId="0" borderId="2" xfId="1" applyFont="1" applyBorder="1"/>
    <xf numFmtId="44" fontId="22" fillId="0" borderId="2" xfId="1" applyFont="1" applyBorder="1" applyAlignment="1">
      <alignment shrinkToFit="1"/>
    </xf>
    <xf numFmtId="0" fontId="6" fillId="0" borderId="3" xfId="0" applyFont="1" applyBorder="1" applyAlignment="1">
      <alignment horizontal="center" shrinkToFit="1"/>
    </xf>
    <xf numFmtId="0" fontId="6" fillId="5" borderId="19" xfId="0" applyFont="1" applyFill="1" applyBorder="1" applyAlignment="1">
      <alignment horizontal="left" shrinkToFit="1"/>
    </xf>
    <xf numFmtId="44" fontId="22" fillId="19" borderId="2" xfId="1" applyFont="1" applyFill="1" applyBorder="1" applyAlignment="1">
      <alignment shrinkToFit="1"/>
    </xf>
    <xf numFmtId="44" fontId="22" fillId="19" borderId="3" xfId="1" applyFont="1" applyFill="1" applyBorder="1" applyAlignment="1">
      <alignment shrinkToFit="1"/>
    </xf>
    <xf numFmtId="0" fontId="6" fillId="11" borderId="19" xfId="0" applyFont="1" applyFill="1" applyBorder="1" applyAlignment="1">
      <alignment horizontal="left" shrinkToFit="1"/>
    </xf>
    <xf numFmtId="0" fontId="11" fillId="11" borderId="19" xfId="0" applyFont="1" applyFill="1" applyBorder="1" applyAlignment="1">
      <alignment horizontal="left" shrinkToFit="1"/>
    </xf>
    <xf numFmtId="44" fontId="22" fillId="18" borderId="2" xfId="1" applyFont="1" applyFill="1" applyBorder="1" applyAlignment="1">
      <alignment shrinkToFit="1"/>
    </xf>
    <xf numFmtId="0" fontId="13" fillId="18" borderId="1" xfId="0" applyFont="1" applyFill="1" applyBorder="1" applyAlignment="1">
      <alignment horizontal="center" shrinkToFit="1"/>
    </xf>
    <xf numFmtId="44" fontId="7" fillId="18" borderId="1" xfId="1" applyFont="1" applyFill="1" applyBorder="1" applyAlignment="1">
      <alignment horizontal="center" shrinkToFit="1"/>
    </xf>
    <xf numFmtId="44" fontId="9" fillId="18" borderId="1" xfId="1" applyFont="1" applyFill="1" applyBorder="1" applyAlignment="1">
      <alignment horizontal="center" shrinkToFit="1"/>
    </xf>
    <xf numFmtId="0" fontId="9" fillId="8" borderId="0" xfId="0" applyFont="1" applyFill="1" applyAlignment="1">
      <alignment horizontal="center" shrinkToFit="1"/>
    </xf>
    <xf numFmtId="44" fontId="10" fillId="11" borderId="0" xfId="1" applyFont="1" applyFill="1" applyAlignment="1">
      <alignment horizontal="center" shrinkToFit="1"/>
    </xf>
    <xf numFmtId="44" fontId="7" fillId="11" borderId="0" xfId="1" applyFont="1" applyFill="1" applyAlignment="1">
      <alignment horizontal="center" shrinkToFit="1"/>
    </xf>
    <xf numFmtId="44" fontId="9" fillId="11" borderId="0" xfId="1" applyFont="1" applyFill="1" applyAlignment="1">
      <alignment horizontal="center" shrinkToFit="1"/>
    </xf>
    <xf numFmtId="4" fontId="7" fillId="5" borderId="31" xfId="0" applyNumberFormat="1" applyFont="1" applyFill="1" applyBorder="1" applyAlignment="1">
      <alignment horizontal="center" shrinkToFit="1"/>
    </xf>
    <xf numFmtId="9" fontId="10" fillId="5" borderId="31" xfId="4" applyFont="1" applyFill="1" applyBorder="1" applyAlignment="1">
      <alignment horizontal="center" shrinkToFit="1"/>
    </xf>
    <xf numFmtId="44" fontId="12" fillId="5" borderId="31" xfId="4" applyNumberFormat="1" applyFont="1" applyFill="1" applyBorder="1" applyAlignment="1">
      <alignment horizontal="center" shrinkToFit="1"/>
    </xf>
    <xf numFmtId="44" fontId="8" fillId="5" borderId="31" xfId="4" applyNumberFormat="1" applyFont="1" applyFill="1" applyBorder="1" applyAlignment="1">
      <alignment horizontal="center" shrinkToFit="1"/>
    </xf>
    <xf numFmtId="44" fontId="12" fillId="0" borderId="3" xfId="1" applyFont="1" applyBorder="1" applyAlignment="1">
      <alignment horizontal="center" shrinkToFit="1"/>
    </xf>
    <xf numFmtId="44" fontId="3" fillId="5" borderId="31" xfId="1" applyFont="1" applyFill="1" applyBorder="1" applyAlignment="1">
      <alignment horizontal="center" shrinkToFit="1"/>
    </xf>
    <xf numFmtId="16" fontId="10" fillId="8" borderId="34" xfId="4" applyNumberFormat="1" applyFont="1" applyFill="1" applyBorder="1" applyAlignment="1">
      <alignment horizontal="center" shrinkToFit="1"/>
    </xf>
    <xf numFmtId="9" fontId="10" fillId="8" borderId="34" xfId="4" applyFont="1" applyFill="1" applyBorder="1" applyAlignment="1">
      <alignment horizontal="center" shrinkToFit="1"/>
    </xf>
    <xf numFmtId="0" fontId="11" fillId="5" borderId="19" xfId="0" applyFont="1" applyFill="1" applyBorder="1" applyAlignment="1">
      <alignment horizontal="center" shrinkToFit="1"/>
    </xf>
    <xf numFmtId="0" fontId="9" fillId="5" borderId="32" xfId="0" applyFont="1" applyFill="1" applyBorder="1" applyAlignment="1">
      <alignment horizontal="center" shrinkToFit="1"/>
    </xf>
    <xf numFmtId="44" fontId="9" fillId="0" borderId="8" xfId="1" applyFont="1" applyBorder="1" applyAlignment="1">
      <alignment horizontal="center" shrinkToFit="1"/>
    </xf>
    <xf numFmtId="44" fontId="9" fillId="0" borderId="9" xfId="1" applyFont="1" applyBorder="1" applyAlignment="1">
      <alignment horizontal="center" shrinkToFit="1"/>
    </xf>
    <xf numFmtId="44" fontId="9" fillId="18" borderId="6" xfId="1" applyFont="1" applyFill="1" applyBorder="1" applyAlignment="1">
      <alignment horizontal="center" shrinkToFit="1"/>
    </xf>
    <xf numFmtId="9" fontId="10" fillId="5" borderId="20" xfId="4" applyFont="1" applyFill="1" applyBorder="1" applyAlignment="1">
      <alignment horizontal="center" shrinkToFit="1"/>
    </xf>
    <xf numFmtId="0" fontId="7" fillId="5" borderId="20" xfId="0" applyFont="1" applyFill="1" applyBorder="1" applyAlignment="1">
      <alignment horizontal="center" shrinkToFit="1"/>
    </xf>
    <xf numFmtId="0" fontId="9" fillId="5" borderId="20" xfId="0" applyFont="1" applyFill="1" applyBorder="1" applyAlignment="1">
      <alignment horizontal="center" shrinkToFit="1"/>
    </xf>
    <xf numFmtId="44" fontId="10" fillId="0" borderId="1" xfId="1" applyFont="1" applyBorder="1" applyAlignment="1">
      <alignment horizontal="center" shrinkToFit="1"/>
    </xf>
    <xf numFmtId="44" fontId="10" fillId="18" borderId="1" xfId="1" applyFont="1" applyFill="1" applyBorder="1" applyAlignment="1">
      <alignment horizontal="center" shrinkToFit="1"/>
    </xf>
    <xf numFmtId="44" fontId="9" fillId="11" borderId="35" xfId="1" applyFont="1" applyFill="1" applyBorder="1" applyAlignment="1">
      <alignment horizontal="center" shrinkToFit="1"/>
    </xf>
    <xf numFmtId="44" fontId="9" fillId="11" borderId="36" xfId="1" applyFont="1" applyFill="1" applyBorder="1" applyAlignment="1">
      <alignment horizontal="center" shrinkToFit="1"/>
    </xf>
    <xf numFmtId="0" fontId="14" fillId="8" borderId="5" xfId="0" applyFont="1" applyFill="1" applyBorder="1" applyAlignment="1">
      <alignment horizontal="left" shrinkToFit="1"/>
    </xf>
    <xf numFmtId="44" fontId="3" fillId="8" borderId="6" xfId="1" applyFont="1" applyFill="1" applyBorder="1" applyAlignment="1">
      <alignment horizontal="center" shrinkToFit="1"/>
    </xf>
    <xf numFmtId="0" fontId="7" fillId="8" borderId="6" xfId="0" applyFont="1" applyFill="1" applyBorder="1" applyAlignment="1">
      <alignment horizontal="center" shrinkToFit="1"/>
    </xf>
    <xf numFmtId="44" fontId="7" fillId="8" borderId="6" xfId="1" applyFont="1" applyFill="1" applyBorder="1" applyAlignment="1">
      <alignment horizontal="center" shrinkToFit="1"/>
    </xf>
    <xf numFmtId="44" fontId="8" fillId="8" borderId="6" xfId="1" applyFont="1" applyFill="1" applyBorder="1" applyAlignment="1">
      <alignment horizontal="center" shrinkToFit="1"/>
    </xf>
    <xf numFmtId="44" fontId="22" fillId="0" borderId="1" xfId="1" applyFont="1" applyBorder="1"/>
    <xf numFmtId="44" fontId="22" fillId="0" borderId="3" xfId="1" applyFont="1" applyBorder="1"/>
    <xf numFmtId="44" fontId="22" fillId="0" borderId="2" xfId="1" applyFont="1" applyBorder="1"/>
    <xf numFmtId="44" fontId="22" fillId="18" borderId="1" xfId="1" applyFont="1" applyFill="1" applyBorder="1"/>
    <xf numFmtId="44" fontId="22" fillId="18" borderId="2" xfId="1" applyFont="1" applyFill="1" applyBorder="1"/>
    <xf numFmtId="44" fontId="22" fillId="11" borderId="31" xfId="1" applyFont="1" applyFill="1" applyBorder="1"/>
    <xf numFmtId="0" fontId="0" fillId="0" borderId="0" xfId="1" applyNumberFormat="1" applyFont="1"/>
    <xf numFmtId="0" fontId="1" fillId="0" borderId="0" xfId="0" applyFont="1"/>
    <xf numFmtId="0" fontId="1" fillId="0" borderId="0" xfId="1" applyNumberFormat="1"/>
    <xf numFmtId="0" fontId="0" fillId="0" borderId="1" xfId="1" applyNumberFormat="1" applyFont="1" applyBorder="1"/>
    <xf numFmtId="0" fontId="0" fillId="0" borderId="1" xfId="0" applyBorder="1"/>
    <xf numFmtId="173" fontId="0" fillId="0" borderId="0" xfId="0" applyNumberFormat="1" applyAlignment="1">
      <alignment wrapText="1"/>
    </xf>
    <xf numFmtId="173" fontId="0" fillId="0" borderId="0" xfId="1" applyNumberFormat="1" applyFont="1" applyAlignment="1">
      <alignment wrapText="1"/>
    </xf>
    <xf numFmtId="173" fontId="1" fillId="0" borderId="0" xfId="0" applyNumberFormat="1" applyFont="1"/>
    <xf numFmtId="0" fontId="47" fillId="0" borderId="1" xfId="1" applyNumberFormat="1" applyFont="1" applyBorder="1" applyAlignment="1">
      <alignment horizontal="center"/>
    </xf>
    <xf numFmtId="0" fontId="47" fillId="0" borderId="37" xfId="1" applyNumberFormat="1" applyFont="1" applyBorder="1" applyAlignment="1">
      <alignment horizontal="center"/>
    </xf>
    <xf numFmtId="0" fontId="47" fillId="0" borderId="10" xfId="0" applyFont="1" applyBorder="1" applyAlignment="1">
      <alignment horizontal="left"/>
    </xf>
    <xf numFmtId="0" fontId="47" fillId="0" borderId="9" xfId="0" applyFont="1" applyBorder="1" applyAlignment="1">
      <alignment horizontal="left"/>
    </xf>
    <xf numFmtId="44" fontId="0" fillId="0" borderId="0" xfId="1" applyFont="1" applyAlignment="1">
      <alignment horizontal="center" wrapText="1"/>
    </xf>
    <xf numFmtId="44" fontId="1" fillId="0" borderId="0" xfId="1" applyAlignment="1">
      <alignment horizontal="center"/>
    </xf>
    <xf numFmtId="44" fontId="47" fillId="0" borderId="9" xfId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6" fillId="2" borderId="1" xfId="0" applyFont="1" applyFill="1" applyBorder="1" applyAlignment="1">
      <alignment horizontal="left" vertical="top"/>
    </xf>
    <xf numFmtId="167" fontId="48" fillId="0" borderId="0" xfId="0" applyNumberFormat="1" applyFont="1" applyAlignment="1">
      <alignment shrinkToFit="1"/>
    </xf>
    <xf numFmtId="0" fontId="48" fillId="0" borderId="0" xfId="0" applyFont="1" applyAlignment="1">
      <alignment shrinkToFit="1"/>
    </xf>
    <xf numFmtId="0" fontId="49" fillId="0" borderId="0" xfId="0" applyFont="1" applyAlignment="1">
      <alignment shrinkToFit="1"/>
    </xf>
    <xf numFmtId="44" fontId="49" fillId="8" borderId="1" xfId="1" applyFont="1" applyFill="1" applyBorder="1" applyAlignment="1">
      <alignment shrinkToFit="1"/>
    </xf>
    <xf numFmtId="44" fontId="49" fillId="18" borderId="1" xfId="1" applyFont="1" applyFill="1" applyBorder="1" applyAlignment="1">
      <alignment shrinkToFit="1"/>
    </xf>
    <xf numFmtId="44" fontId="49" fillId="8" borderId="3" xfId="1" applyFont="1" applyFill="1" applyBorder="1" applyAlignment="1">
      <alignment shrinkToFit="1"/>
    </xf>
    <xf numFmtId="44" fontId="49" fillId="8" borderId="0" xfId="1" applyFont="1" applyFill="1" applyAlignment="1">
      <alignment shrinkToFit="1"/>
    </xf>
    <xf numFmtId="44" fontId="49" fillId="0" borderId="0" xfId="1" applyFont="1" applyAlignment="1">
      <alignment shrinkToFit="1"/>
    </xf>
    <xf numFmtId="0" fontId="48" fillId="0" borderId="0" xfId="0" applyFont="1" applyAlignment="1">
      <alignment horizontal="center" shrinkToFit="1"/>
    </xf>
    <xf numFmtId="44" fontId="49" fillId="0" borderId="3" xfId="1" applyFont="1" applyBorder="1" applyAlignment="1">
      <alignment shrinkToFit="1"/>
    </xf>
    <xf numFmtId="44" fontId="49" fillId="0" borderId="1" xfId="1" applyFont="1" applyBorder="1" applyAlignment="1">
      <alignment shrinkToFit="1"/>
    </xf>
    <xf numFmtId="44" fontId="49" fillId="0" borderId="1" xfId="1" applyFont="1" applyBorder="1"/>
    <xf numFmtId="44" fontId="49" fillId="19" borderId="1" xfId="1" applyFont="1" applyFill="1" applyBorder="1" applyAlignment="1">
      <alignment shrinkToFit="1"/>
    </xf>
    <xf numFmtId="0" fontId="52" fillId="3" borderId="2" xfId="0" applyFont="1" applyFill="1" applyBorder="1" applyAlignment="1">
      <alignment horizontal="center" shrinkToFit="1"/>
    </xf>
    <xf numFmtId="44" fontId="49" fillId="18" borderId="2" xfId="1" applyFont="1" applyFill="1" applyBorder="1"/>
    <xf numFmtId="44" fontId="49" fillId="18" borderId="2" xfId="1" applyFont="1" applyFill="1" applyBorder="1" applyAlignment="1">
      <alignment shrinkToFit="1"/>
    </xf>
    <xf numFmtId="0" fontId="48" fillId="11" borderId="19" xfId="0" applyFont="1" applyFill="1" applyBorder="1" applyAlignment="1">
      <alignment horizontal="left" shrinkToFit="1"/>
    </xf>
    <xf numFmtId="44" fontId="49" fillId="11" borderId="31" xfId="1" applyFont="1" applyFill="1" applyBorder="1"/>
    <xf numFmtId="44" fontId="49" fillId="11" borderId="31" xfId="1" applyFont="1" applyFill="1" applyBorder="1" applyAlignment="1">
      <alignment shrinkToFit="1"/>
    </xf>
    <xf numFmtId="44" fontId="49" fillId="11" borderId="32" xfId="1" applyFont="1" applyFill="1" applyBorder="1" applyAlignment="1">
      <alignment shrinkToFit="1"/>
    </xf>
    <xf numFmtId="44" fontId="49" fillId="0" borderId="3" xfId="1" applyFont="1" applyBorder="1"/>
    <xf numFmtId="44" fontId="49" fillId="19" borderId="3" xfId="1" applyFont="1" applyFill="1" applyBorder="1" applyAlignment="1">
      <alignment shrinkToFit="1"/>
    </xf>
    <xf numFmtId="0" fontId="52" fillId="3" borderId="2" xfId="0" applyFont="1" applyFill="1" applyBorder="1" applyAlignment="1">
      <alignment horizontal="left" shrinkToFit="1"/>
    </xf>
    <xf numFmtId="44" fontId="49" fillId="0" borderId="2" xfId="1" applyFont="1" applyBorder="1"/>
    <xf numFmtId="44" fontId="49" fillId="0" borderId="2" xfId="1" applyFont="1" applyBorder="1" applyAlignment="1">
      <alignment shrinkToFit="1"/>
    </xf>
    <xf numFmtId="44" fontId="49" fillId="19" borderId="2" xfId="1" applyFont="1" applyFill="1" applyBorder="1" applyAlignment="1">
      <alignment shrinkToFit="1"/>
    </xf>
    <xf numFmtId="0" fontId="52" fillId="18" borderId="1" xfId="0" applyFont="1" applyFill="1" applyBorder="1" applyAlignment="1">
      <alignment horizontal="center" shrinkToFit="1"/>
    </xf>
    <xf numFmtId="44" fontId="49" fillId="18" borderId="1" xfId="1" applyFont="1" applyFill="1" applyBorder="1"/>
    <xf numFmtId="0" fontId="58" fillId="0" borderId="0" xfId="0" applyFont="1"/>
    <xf numFmtId="0" fontId="0" fillId="19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22" fillId="0" borderId="0" xfId="0" applyFont="1" applyAlignment="1">
      <alignment horizontal="center" shrinkToFit="1"/>
    </xf>
    <xf numFmtId="44" fontId="49" fillId="8" borderId="24" xfId="1" applyFont="1" applyFill="1" applyBorder="1" applyAlignment="1">
      <alignment shrinkToFit="1"/>
    </xf>
    <xf numFmtId="44" fontId="49" fillId="8" borderId="44" xfId="1" applyFont="1" applyFill="1" applyBorder="1" applyAlignment="1">
      <alignment shrinkToFit="1"/>
    </xf>
    <xf numFmtId="44" fontId="22" fillId="8" borderId="24" xfId="1" applyFont="1" applyFill="1" applyBorder="1" applyAlignment="1">
      <alignment shrinkToFit="1"/>
    </xf>
    <xf numFmtId="44" fontId="22" fillId="8" borderId="44" xfId="1" applyFont="1" applyFill="1" applyBorder="1" applyAlignment="1">
      <alignment shrinkToFit="1"/>
    </xf>
    <xf numFmtId="44" fontId="22" fillId="8" borderId="23" xfId="1" applyFont="1" applyFill="1" applyBorder="1" applyAlignment="1">
      <alignment shrinkToFit="1"/>
    </xf>
    <xf numFmtId="44" fontId="22" fillId="8" borderId="29" xfId="1" applyFont="1" applyFill="1" applyBorder="1" applyAlignment="1">
      <alignment shrinkToFit="1"/>
    </xf>
    <xf numFmtId="44" fontId="49" fillId="0" borderId="25" xfId="1" applyFont="1" applyBorder="1" applyAlignment="1">
      <alignment shrinkToFit="1"/>
    </xf>
    <xf numFmtId="44" fontId="49" fillId="0" borderId="28" xfId="1" applyFont="1" applyBorder="1" applyAlignment="1">
      <alignment shrinkToFit="1"/>
    </xf>
    <xf numFmtId="44" fontId="49" fillId="0" borderId="45" xfId="1" applyFont="1" applyBorder="1" applyAlignment="1">
      <alignment shrinkToFit="1"/>
    </xf>
    <xf numFmtId="44" fontId="22" fillId="0" borderId="25" xfId="1" applyFont="1" applyBorder="1" applyAlignment="1">
      <alignment shrinkToFit="1"/>
    </xf>
    <xf numFmtId="44" fontId="22" fillId="0" borderId="28" xfId="1" applyFont="1" applyBorder="1" applyAlignment="1">
      <alignment shrinkToFit="1"/>
    </xf>
    <xf numFmtId="44" fontId="22" fillId="0" borderId="45" xfId="1" applyFont="1" applyBorder="1" applyAlignment="1">
      <alignment shrinkToFit="1"/>
    </xf>
    <xf numFmtId="0" fontId="53" fillId="20" borderId="13" xfId="3" applyFont="1" applyFill="1" applyBorder="1"/>
    <xf numFmtId="0" fontId="54" fillId="20" borderId="15" xfId="3" applyFont="1" applyFill="1" applyBorder="1" applyAlignment="1">
      <alignment horizontal="left" wrapText="1"/>
    </xf>
    <xf numFmtId="0" fontId="53" fillId="20" borderId="12" xfId="0" applyFont="1" applyFill="1" applyBorder="1" applyAlignment="1">
      <alignment shrinkToFit="1"/>
    </xf>
    <xf numFmtId="0" fontId="53" fillId="20" borderId="14" xfId="0" applyFont="1" applyFill="1" applyBorder="1" applyAlignment="1">
      <alignment shrinkToFit="1"/>
    </xf>
    <xf numFmtId="0" fontId="33" fillId="20" borderId="13" xfId="3" applyFont="1" applyFill="1" applyBorder="1"/>
    <xf numFmtId="0" fontId="55" fillId="20" borderId="15" xfId="3" applyFont="1" applyFill="1" applyBorder="1" applyAlignment="1">
      <alignment horizontal="left" wrapText="1"/>
    </xf>
    <xf numFmtId="0" fontId="56" fillId="20" borderId="12" xfId="0" applyFont="1" applyFill="1" applyBorder="1" applyAlignment="1">
      <alignment shrinkToFit="1"/>
    </xf>
    <xf numFmtId="0" fontId="49" fillId="20" borderId="41" xfId="0" applyFont="1" applyFill="1" applyBorder="1" applyAlignment="1">
      <alignment shrinkToFit="1"/>
    </xf>
    <xf numFmtId="0" fontId="32" fillId="20" borderId="40" xfId="0" applyFont="1" applyFill="1" applyBorder="1" applyAlignment="1">
      <alignment horizontal="center" shrinkToFit="1"/>
    </xf>
    <xf numFmtId="0" fontId="22" fillId="20" borderId="41" xfId="0" applyFont="1" applyFill="1" applyBorder="1" applyAlignment="1">
      <alignment shrinkToFit="1"/>
    </xf>
    <xf numFmtId="44" fontId="49" fillId="20" borderId="49" xfId="1" applyFont="1" applyFill="1" applyBorder="1" applyAlignment="1">
      <alignment shrinkToFit="1"/>
    </xf>
    <xf numFmtId="44" fontId="22" fillId="20" borderId="51" xfId="1" applyFont="1" applyFill="1" applyBorder="1" applyAlignment="1">
      <alignment shrinkToFit="1"/>
    </xf>
    <xf numFmtId="44" fontId="22" fillId="20" borderId="49" xfId="1" applyFont="1" applyFill="1" applyBorder="1" applyAlignment="1">
      <alignment shrinkToFit="1"/>
    </xf>
    <xf numFmtId="44" fontId="49" fillId="20" borderId="45" xfId="1" applyFont="1" applyFill="1" applyBorder="1" applyAlignment="1">
      <alignment shrinkToFit="1"/>
    </xf>
    <xf numFmtId="44" fontId="49" fillId="20" borderId="51" xfId="1" applyFont="1" applyFill="1" applyBorder="1" applyAlignment="1">
      <alignment shrinkToFit="1"/>
    </xf>
    <xf numFmtId="44" fontId="22" fillId="20" borderId="45" xfId="1" applyFont="1" applyFill="1" applyBorder="1" applyAlignment="1">
      <alignment shrinkToFit="1"/>
    </xf>
    <xf numFmtId="44" fontId="61" fillId="8" borderId="0" xfId="1" applyFont="1" applyFill="1" applyAlignment="1">
      <alignment shrinkToFit="1"/>
    </xf>
    <xf numFmtId="0" fontId="62" fillId="0" borderId="0" xfId="0" applyFont="1" applyAlignment="1">
      <alignment horizontal="center" shrinkToFit="1"/>
    </xf>
    <xf numFmtId="169" fontId="31" fillId="20" borderId="15" xfId="0" applyNumberFormat="1" applyFont="1" applyFill="1" applyBorder="1" applyAlignment="1">
      <alignment shrinkToFit="1"/>
    </xf>
    <xf numFmtId="169" fontId="29" fillId="20" borderId="15" xfId="0" applyNumberFormat="1" applyFont="1" applyFill="1" applyBorder="1" applyAlignment="1">
      <alignment shrinkToFit="1"/>
    </xf>
    <xf numFmtId="0" fontId="33" fillId="20" borderId="12" xfId="3" applyFont="1" applyFill="1" applyBorder="1" applyAlignment="1">
      <alignment horizontal="left"/>
    </xf>
    <xf numFmtId="0" fontId="33" fillId="20" borderId="13" xfId="3" applyFont="1" applyFill="1" applyBorder="1" applyAlignment="1">
      <alignment horizontal="left"/>
    </xf>
    <xf numFmtId="0" fontId="49" fillId="9" borderId="51" xfId="0" applyFont="1" applyFill="1" applyBorder="1" applyAlignment="1">
      <alignment horizontal="center" shrinkToFit="1"/>
    </xf>
    <xf numFmtId="0" fontId="49" fillId="9" borderId="50" xfId="0" applyFont="1" applyFill="1" applyBorder="1" applyAlignment="1">
      <alignment horizontal="center" shrinkToFit="1"/>
    </xf>
    <xf numFmtId="0" fontId="22" fillId="9" borderId="51" xfId="0" applyFont="1" applyFill="1" applyBorder="1" applyAlignment="1">
      <alignment horizontal="center" shrinkToFit="1"/>
    </xf>
    <xf numFmtId="0" fontId="22" fillId="9" borderId="50" xfId="0" applyFont="1" applyFill="1" applyBorder="1" applyAlignment="1">
      <alignment horizontal="center" shrinkToFit="1"/>
    </xf>
    <xf numFmtId="0" fontId="59" fillId="10" borderId="16" xfId="3" applyFont="1" applyFill="1" applyBorder="1" applyAlignment="1">
      <alignment horizontal="left"/>
    </xf>
    <xf numFmtId="0" fontId="59" fillId="10" borderId="17" xfId="3" applyFont="1" applyFill="1" applyBorder="1" applyAlignment="1">
      <alignment horizontal="left"/>
    </xf>
    <xf numFmtId="0" fontId="59" fillId="10" borderId="18" xfId="3" applyFont="1" applyFill="1" applyBorder="1" applyAlignment="1">
      <alignment horizontal="left"/>
    </xf>
    <xf numFmtId="0" fontId="60" fillId="10" borderId="16" xfId="3" applyFont="1" applyFill="1" applyBorder="1" applyAlignment="1">
      <alignment horizontal="left"/>
    </xf>
    <xf numFmtId="0" fontId="60" fillId="10" borderId="17" xfId="3" applyFont="1" applyFill="1" applyBorder="1" applyAlignment="1">
      <alignment horizontal="left"/>
    </xf>
    <xf numFmtId="0" fontId="60" fillId="10" borderId="18" xfId="3" applyFont="1" applyFill="1" applyBorder="1" applyAlignment="1">
      <alignment horizontal="left"/>
    </xf>
    <xf numFmtId="0" fontId="50" fillId="20" borderId="51" xfId="0" applyFont="1" applyFill="1" applyBorder="1" applyAlignment="1">
      <alignment horizontal="center" shrinkToFit="1"/>
    </xf>
    <xf numFmtId="0" fontId="32" fillId="20" borderId="51" xfId="0" applyFont="1" applyFill="1" applyBorder="1" applyAlignment="1">
      <alignment horizontal="center" shrinkToFit="1"/>
    </xf>
    <xf numFmtId="0" fontId="33" fillId="20" borderId="16" xfId="3" applyFont="1" applyFill="1" applyBorder="1" applyAlignment="1">
      <alignment horizontal="left"/>
    </xf>
    <xf numFmtId="0" fontId="33" fillId="20" borderId="17" xfId="3" applyFont="1" applyFill="1" applyBorder="1" applyAlignment="1">
      <alignment horizontal="left"/>
    </xf>
    <xf numFmtId="0" fontId="55" fillId="20" borderId="18" xfId="3" applyFont="1" applyFill="1" applyBorder="1" applyAlignment="1">
      <alignment horizontal="left" wrapText="1"/>
    </xf>
    <xf numFmtId="0" fontId="50" fillId="20" borderId="49" xfId="0" applyFont="1" applyFill="1" applyBorder="1" applyAlignment="1">
      <alignment horizontal="center" shrinkToFit="1"/>
    </xf>
    <xf numFmtId="0" fontId="32" fillId="20" borderId="49" xfId="0" applyFont="1" applyFill="1" applyBorder="1" applyAlignment="1">
      <alignment horizontal="center" shrinkToFit="1"/>
    </xf>
    <xf numFmtId="0" fontId="50" fillId="20" borderId="60" xfId="0" applyFont="1" applyFill="1" applyBorder="1" applyAlignment="1">
      <alignment horizontal="center" shrinkToFit="1"/>
    </xf>
    <xf numFmtId="44" fontId="49" fillId="8" borderId="61" xfId="1" applyFont="1" applyFill="1" applyBorder="1" applyAlignment="1">
      <alignment shrinkToFit="1"/>
    </xf>
    <xf numFmtId="44" fontId="49" fillId="8" borderId="37" xfId="1" applyFont="1" applyFill="1" applyBorder="1" applyAlignment="1">
      <alignment shrinkToFit="1"/>
    </xf>
    <xf numFmtId="44" fontId="49" fillId="8" borderId="62" xfId="1" applyFont="1" applyFill="1" applyBorder="1" applyAlignment="1">
      <alignment shrinkToFit="1"/>
    </xf>
    <xf numFmtId="44" fontId="49" fillId="8" borderId="58" xfId="1" applyFont="1" applyFill="1" applyBorder="1" applyAlignment="1">
      <alignment shrinkToFit="1"/>
    </xf>
    <xf numFmtId="44" fontId="49" fillId="22" borderId="37" xfId="1" applyFont="1" applyFill="1" applyBorder="1" applyAlignment="1">
      <alignment shrinkToFit="1"/>
    </xf>
    <xf numFmtId="44" fontId="22" fillId="8" borderId="61" xfId="1" applyFont="1" applyFill="1" applyBorder="1" applyAlignment="1">
      <alignment shrinkToFit="1"/>
    </xf>
    <xf numFmtId="44" fontId="22" fillId="8" borderId="37" xfId="1" applyFont="1" applyFill="1" applyBorder="1" applyAlignment="1">
      <alignment shrinkToFit="1"/>
    </xf>
    <xf numFmtId="44" fontId="22" fillId="8" borderId="62" xfId="1" applyFont="1" applyFill="1" applyBorder="1" applyAlignment="1">
      <alignment shrinkToFit="1"/>
    </xf>
    <xf numFmtId="44" fontId="22" fillId="8" borderId="58" xfId="1" applyFont="1" applyFill="1" applyBorder="1" applyAlignment="1">
      <alignment shrinkToFit="1"/>
    </xf>
    <xf numFmtId="44" fontId="22" fillId="22" borderId="37" xfId="1" applyFont="1" applyFill="1" applyBorder="1" applyAlignment="1">
      <alignment shrinkToFit="1"/>
    </xf>
    <xf numFmtId="0" fontId="54" fillId="20" borderId="14" xfId="3" applyFont="1" applyFill="1" applyBorder="1" applyAlignment="1">
      <alignment horizontal="left" wrapText="1"/>
    </xf>
    <xf numFmtId="0" fontId="53" fillId="20" borderId="43" xfId="3" applyFont="1" applyFill="1" applyBorder="1"/>
    <xf numFmtId="0" fontId="53" fillId="20" borderId="13" xfId="0" applyFont="1" applyFill="1" applyBorder="1" applyAlignment="1">
      <alignment shrinkToFit="1"/>
    </xf>
    <xf numFmtId="0" fontId="55" fillId="20" borderId="14" xfId="3" applyFont="1" applyFill="1" applyBorder="1" applyAlignment="1">
      <alignment horizontal="left" wrapText="1"/>
    </xf>
    <xf numFmtId="0" fontId="33" fillId="20" borderId="43" xfId="3" applyFont="1" applyFill="1" applyBorder="1"/>
    <xf numFmtId="0" fontId="56" fillId="20" borderId="13" xfId="0" applyFont="1" applyFill="1" applyBorder="1" applyAlignment="1">
      <alignment shrinkToFit="1"/>
    </xf>
    <xf numFmtId="0" fontId="48" fillId="0" borderId="30" xfId="0" applyFont="1" applyBorder="1" applyAlignment="1">
      <alignment shrinkToFit="1"/>
    </xf>
    <xf numFmtId="0" fontId="21" fillId="0" borderId="30" xfId="0" applyFont="1" applyBorder="1" applyAlignment="1">
      <alignment shrinkToFit="1"/>
    </xf>
    <xf numFmtId="44" fontId="49" fillId="8" borderId="55" xfId="1" applyFont="1" applyFill="1" applyBorder="1" applyAlignment="1">
      <alignment shrinkToFit="1"/>
    </xf>
    <xf numFmtId="44" fontId="49" fillId="8" borderId="2" xfId="1" applyFont="1" applyFill="1" applyBorder="1" applyAlignment="1">
      <alignment shrinkToFit="1"/>
    </xf>
    <xf numFmtId="44" fontId="22" fillId="8" borderId="55" xfId="1" applyFont="1" applyFill="1" applyBorder="1" applyAlignment="1">
      <alignment shrinkToFit="1"/>
    </xf>
    <xf numFmtId="44" fontId="22" fillId="8" borderId="2" xfId="1" applyFont="1" applyFill="1" applyBorder="1" applyAlignment="1">
      <alignment shrinkToFit="1"/>
    </xf>
    <xf numFmtId="44" fontId="49" fillId="22" borderId="61" xfId="1" applyFont="1" applyFill="1" applyBorder="1" applyAlignment="1">
      <alignment shrinkToFit="1"/>
    </xf>
    <xf numFmtId="44" fontId="22" fillId="22" borderId="61" xfId="1" applyFont="1" applyFill="1" applyBorder="1" applyAlignment="1">
      <alignment shrinkToFit="1"/>
    </xf>
    <xf numFmtId="0" fontId="50" fillId="20" borderId="52" xfId="0" applyFont="1" applyFill="1" applyBorder="1" applyAlignment="1">
      <alignment horizontal="center" shrinkToFit="1"/>
    </xf>
    <xf numFmtId="44" fontId="49" fillId="8" borderId="26" xfId="1" applyFont="1" applyFill="1" applyBorder="1" applyAlignment="1">
      <alignment shrinkToFit="1"/>
    </xf>
    <xf numFmtId="44" fontId="49" fillId="8" borderId="10" xfId="1" applyFont="1" applyFill="1" applyBorder="1" applyAlignment="1">
      <alignment shrinkToFit="1"/>
    </xf>
    <xf numFmtId="44" fontId="49" fillId="8" borderId="46" xfId="1" applyFont="1" applyFill="1" applyBorder="1" applyAlignment="1">
      <alignment shrinkToFit="1"/>
    </xf>
    <xf numFmtId="44" fontId="49" fillId="8" borderId="7" xfId="1" applyFont="1" applyFill="1" applyBorder="1" applyAlignment="1">
      <alignment shrinkToFit="1"/>
    </xf>
    <xf numFmtId="44" fontId="49" fillId="8" borderId="5" xfId="1" applyFont="1" applyFill="1" applyBorder="1" applyAlignment="1">
      <alignment shrinkToFit="1"/>
    </xf>
    <xf numFmtId="44" fontId="49" fillId="22" borderId="26" xfId="1" applyFont="1" applyFill="1" applyBorder="1" applyAlignment="1">
      <alignment shrinkToFit="1"/>
    </xf>
    <xf numFmtId="44" fontId="49" fillId="22" borderId="10" xfId="1" applyFont="1" applyFill="1" applyBorder="1" applyAlignment="1">
      <alignment shrinkToFit="1"/>
    </xf>
    <xf numFmtId="0" fontId="32" fillId="20" borderId="52" xfId="0" applyFont="1" applyFill="1" applyBorder="1" applyAlignment="1">
      <alignment horizontal="center" shrinkToFit="1"/>
    </xf>
    <xf numFmtId="44" fontId="22" fillId="8" borderId="26" xfId="1" applyFont="1" applyFill="1" applyBorder="1" applyAlignment="1">
      <alignment shrinkToFit="1"/>
    </xf>
    <xf numFmtId="44" fontId="22" fillId="8" borderId="10" xfId="1" applyFont="1" applyFill="1" applyBorder="1" applyAlignment="1">
      <alignment shrinkToFit="1"/>
    </xf>
    <xf numFmtId="44" fontId="22" fillId="8" borderId="46" xfId="1" applyFont="1" applyFill="1" applyBorder="1" applyAlignment="1">
      <alignment shrinkToFit="1"/>
    </xf>
    <xf numFmtId="44" fontId="22" fillId="8" borderId="7" xfId="1" applyFont="1" applyFill="1" applyBorder="1" applyAlignment="1">
      <alignment shrinkToFit="1"/>
    </xf>
    <xf numFmtId="44" fontId="22" fillId="8" borderId="5" xfId="1" applyFont="1" applyFill="1" applyBorder="1" applyAlignment="1">
      <alignment shrinkToFit="1"/>
    </xf>
    <xf numFmtId="44" fontId="22" fillId="22" borderId="26" xfId="1" applyFont="1" applyFill="1" applyBorder="1" applyAlignment="1">
      <alignment shrinkToFit="1"/>
    </xf>
    <xf numFmtId="44" fontId="22" fillId="22" borderId="10" xfId="1" applyFont="1" applyFill="1" applyBorder="1" applyAlignment="1">
      <alignment shrinkToFit="1"/>
    </xf>
    <xf numFmtId="44" fontId="22" fillId="20" borderId="60" xfId="1" applyFont="1" applyFill="1" applyBorder="1" applyAlignment="1">
      <alignment shrinkToFit="1"/>
    </xf>
    <xf numFmtId="44" fontId="49" fillId="20" borderId="29" xfId="1" applyFont="1" applyFill="1" applyBorder="1" applyAlignment="1">
      <alignment shrinkToFit="1"/>
    </xf>
    <xf numFmtId="44" fontId="22" fillId="20" borderId="29" xfId="1" applyFont="1" applyFill="1" applyBorder="1" applyAlignment="1">
      <alignment shrinkToFit="1"/>
    </xf>
    <xf numFmtId="0" fontId="48" fillId="20" borderId="15" xfId="0" applyFont="1" applyFill="1" applyBorder="1" applyAlignment="1">
      <alignment horizontal="center" shrinkToFit="1"/>
    </xf>
    <xf numFmtId="0" fontId="49" fillId="0" borderId="12" xfId="0" applyFont="1" applyBorder="1" applyAlignment="1">
      <alignment shrinkToFit="1"/>
    </xf>
    <xf numFmtId="0" fontId="49" fillId="0" borderId="13" xfId="0" applyFont="1" applyBorder="1" applyAlignment="1">
      <alignment shrinkToFit="1"/>
    </xf>
    <xf numFmtId="0" fontId="2" fillId="0" borderId="12" xfId="0" applyFont="1" applyBorder="1" applyAlignment="1">
      <alignment shrinkToFit="1"/>
    </xf>
    <xf numFmtId="0" fontId="22" fillId="0" borderId="13" xfId="0" applyFont="1" applyBorder="1" applyAlignment="1">
      <alignment shrinkToFit="1"/>
    </xf>
    <xf numFmtId="0" fontId="2" fillId="0" borderId="13" xfId="0" applyFont="1" applyBorder="1" applyAlignment="1">
      <alignment shrinkToFit="1"/>
    </xf>
    <xf numFmtId="0" fontId="22" fillId="0" borderId="12" xfId="0" applyFont="1" applyBorder="1" applyAlignment="1">
      <alignment shrinkToFit="1"/>
    </xf>
    <xf numFmtId="44" fontId="49" fillId="22" borderId="25" xfId="1" applyFont="1" applyFill="1" applyBorder="1" applyAlignment="1">
      <alignment shrinkToFit="1"/>
    </xf>
    <xf numFmtId="44" fontId="49" fillId="22" borderId="28" xfId="1" applyFont="1" applyFill="1" applyBorder="1" applyAlignment="1">
      <alignment shrinkToFit="1"/>
    </xf>
    <xf numFmtId="44" fontId="22" fillId="22" borderId="25" xfId="1" applyFont="1" applyFill="1" applyBorder="1" applyAlignment="1">
      <alignment shrinkToFit="1"/>
    </xf>
    <xf numFmtId="44" fontId="22" fillId="22" borderId="28" xfId="1" applyFont="1" applyFill="1" applyBorder="1" applyAlignment="1">
      <alignment shrinkToFit="1"/>
    </xf>
    <xf numFmtId="44" fontId="49" fillId="22" borderId="23" xfId="1" applyFont="1" applyFill="1" applyBorder="1" applyAlignment="1">
      <alignment shrinkToFit="1"/>
    </xf>
    <xf numFmtId="44" fontId="49" fillId="22" borderId="27" xfId="1" applyFont="1" applyFill="1" applyBorder="1" applyAlignment="1">
      <alignment shrinkToFit="1"/>
    </xf>
    <xf numFmtId="44" fontId="22" fillId="22" borderId="23" xfId="1" applyFont="1" applyFill="1" applyBorder="1" applyAlignment="1">
      <alignment shrinkToFit="1"/>
    </xf>
    <xf numFmtId="44" fontId="22" fillId="22" borderId="27" xfId="1" applyFont="1" applyFill="1" applyBorder="1" applyAlignment="1">
      <alignment shrinkToFit="1"/>
    </xf>
    <xf numFmtId="44" fontId="49" fillId="20" borderId="64" xfId="1" applyFont="1" applyFill="1" applyBorder="1" applyAlignment="1">
      <alignment shrinkToFit="1"/>
    </xf>
    <xf numFmtId="44" fontId="49" fillId="22" borderId="63" xfId="1" applyFont="1" applyFill="1" applyBorder="1" applyAlignment="1">
      <alignment shrinkToFit="1"/>
    </xf>
    <xf numFmtId="44" fontId="49" fillId="22" borderId="9" xfId="1" applyFont="1" applyFill="1" applyBorder="1" applyAlignment="1">
      <alignment shrinkToFit="1"/>
    </xf>
    <xf numFmtId="44" fontId="22" fillId="20" borderId="64" xfId="1" applyFont="1" applyFill="1" applyBorder="1" applyAlignment="1">
      <alignment shrinkToFit="1"/>
    </xf>
    <xf numFmtId="44" fontId="22" fillId="22" borderId="63" xfId="1" applyFont="1" applyFill="1" applyBorder="1" applyAlignment="1">
      <alignment shrinkToFit="1"/>
    </xf>
    <xf numFmtId="44" fontId="22" fillId="22" borderId="9" xfId="1" applyFont="1" applyFill="1" applyBorder="1" applyAlignment="1">
      <alignment shrinkToFit="1"/>
    </xf>
    <xf numFmtId="44" fontId="49" fillId="0" borderId="65" xfId="1" applyFont="1" applyBorder="1" applyAlignment="1">
      <alignment horizontal="left" shrinkToFit="1"/>
    </xf>
    <xf numFmtId="44" fontId="49" fillId="0" borderId="66" xfId="1" applyFont="1" applyBorder="1" applyAlignment="1">
      <alignment horizontal="left" shrinkToFit="1"/>
    </xf>
    <xf numFmtId="44" fontId="49" fillId="0" borderId="67" xfId="1" applyFont="1" applyBorder="1" applyAlignment="1">
      <alignment horizontal="left" shrinkToFit="1"/>
    </xf>
    <xf numFmtId="44" fontId="49" fillId="0" borderId="68" xfId="1" applyFont="1" applyBorder="1" applyAlignment="1">
      <alignment horizontal="left" shrinkToFit="1"/>
    </xf>
    <xf numFmtId="44" fontId="22" fillId="0" borderId="65" xfId="1" applyFont="1" applyBorder="1" applyAlignment="1">
      <alignment horizontal="left" shrinkToFit="1"/>
    </xf>
    <xf numFmtId="44" fontId="22" fillId="0" borderId="66" xfId="1" applyFont="1" applyBorder="1" applyAlignment="1">
      <alignment horizontal="left" shrinkToFit="1"/>
    </xf>
    <xf numFmtId="44" fontId="22" fillId="0" borderId="67" xfId="1" applyFont="1" applyBorder="1" applyAlignment="1">
      <alignment horizontal="left" shrinkToFit="1"/>
    </xf>
    <xf numFmtId="44" fontId="22" fillId="0" borderId="68" xfId="1" applyFont="1" applyBorder="1" applyAlignment="1">
      <alignment horizontal="left" shrinkToFit="1"/>
    </xf>
    <xf numFmtId="0" fontId="49" fillId="20" borderId="42" xfId="0" applyFont="1" applyFill="1" applyBorder="1" applyAlignment="1">
      <alignment shrinkToFit="1"/>
    </xf>
    <xf numFmtId="0" fontId="22" fillId="20" borderId="42" xfId="0" applyFont="1" applyFill="1" applyBorder="1" applyAlignment="1">
      <alignment shrinkToFit="1"/>
    </xf>
    <xf numFmtId="44" fontId="49" fillId="20" borderId="12" xfId="1" applyFont="1" applyFill="1" applyBorder="1" applyAlignment="1">
      <alignment shrinkToFit="1"/>
    </xf>
    <xf numFmtId="44" fontId="49" fillId="20" borderId="13" xfId="1" applyFont="1" applyFill="1" applyBorder="1" applyAlignment="1">
      <alignment shrinkToFit="1"/>
    </xf>
    <xf numFmtId="44" fontId="49" fillId="20" borderId="14" xfId="1" applyFont="1" applyFill="1" applyBorder="1" applyAlignment="1">
      <alignment shrinkToFit="1"/>
    </xf>
    <xf numFmtId="44" fontId="22" fillId="20" borderId="12" xfId="1" applyFont="1" applyFill="1" applyBorder="1" applyAlignment="1">
      <alignment shrinkToFit="1"/>
    </xf>
    <xf numFmtId="44" fontId="22" fillId="20" borderId="13" xfId="1" applyFont="1" applyFill="1" applyBorder="1" applyAlignment="1">
      <alignment shrinkToFit="1"/>
    </xf>
    <xf numFmtId="44" fontId="22" fillId="20" borderId="14" xfId="1" applyFont="1" applyFill="1" applyBorder="1" applyAlignment="1">
      <alignment shrinkToFit="1"/>
    </xf>
    <xf numFmtId="44" fontId="49" fillId="20" borderId="38" xfId="1" applyFont="1" applyFill="1" applyBorder="1" applyAlignment="1">
      <alignment shrinkToFit="1"/>
    </xf>
    <xf numFmtId="44" fontId="22" fillId="20" borderId="38" xfId="1" applyFont="1" applyFill="1" applyBorder="1" applyAlignment="1">
      <alignment shrinkToFit="1"/>
    </xf>
    <xf numFmtId="0" fontId="49" fillId="0" borderId="15" xfId="0" applyFont="1" applyBorder="1" applyAlignment="1">
      <alignment shrinkToFit="1"/>
    </xf>
    <xf numFmtId="0" fontId="2" fillId="0" borderId="15" xfId="0" applyFont="1" applyBorder="1" applyAlignment="1">
      <alignment shrinkToFit="1"/>
    </xf>
    <xf numFmtId="0" fontId="22" fillId="0" borderId="15" xfId="0" applyFont="1" applyBorder="1" applyAlignment="1">
      <alignment shrinkToFit="1"/>
    </xf>
    <xf numFmtId="0" fontId="53" fillId="20" borderId="38" xfId="3" applyFont="1" applyFill="1" applyBorder="1"/>
    <xf numFmtId="44" fontId="49" fillId="0" borderId="69" xfId="1" applyFont="1" applyBorder="1" applyAlignment="1">
      <alignment horizontal="left" shrinkToFit="1"/>
    </xf>
    <xf numFmtId="0" fontId="33" fillId="20" borderId="38" xfId="3" applyFont="1" applyFill="1" applyBorder="1"/>
    <xf numFmtId="44" fontId="22" fillId="0" borderId="69" xfId="1" applyFont="1" applyBorder="1" applyAlignment="1">
      <alignment horizontal="left" shrinkToFit="1"/>
    </xf>
    <xf numFmtId="0" fontId="54" fillId="20" borderId="34" xfId="3" applyFont="1" applyFill="1" applyBorder="1" applyAlignment="1">
      <alignment horizontal="left" wrapText="1"/>
    </xf>
    <xf numFmtId="44" fontId="49" fillId="8" borderId="11" xfId="1" applyFont="1" applyFill="1" applyBorder="1" applyAlignment="1">
      <alignment shrinkToFit="1"/>
    </xf>
    <xf numFmtId="0" fontId="55" fillId="20" borderId="34" xfId="3" applyFont="1" applyFill="1" applyBorder="1" applyAlignment="1">
      <alignment horizontal="left" wrapText="1"/>
    </xf>
    <xf numFmtId="44" fontId="22" fillId="8" borderId="11" xfId="1" applyFont="1" applyFill="1" applyBorder="1" applyAlignment="1">
      <alignment shrinkToFit="1"/>
    </xf>
    <xf numFmtId="44" fontId="49" fillId="20" borderId="60" xfId="1" applyFont="1" applyFill="1" applyBorder="1" applyAlignment="1">
      <alignment shrinkToFit="1"/>
    </xf>
    <xf numFmtId="0" fontId="61" fillId="10" borderId="18" xfId="0" applyFont="1" applyFill="1" applyBorder="1" applyAlignment="1">
      <alignment horizontal="left" shrinkToFit="1"/>
    </xf>
    <xf numFmtId="44" fontId="49" fillId="20" borderId="65" xfId="1" applyFont="1" applyFill="1" applyBorder="1" applyAlignment="1">
      <alignment shrinkToFit="1"/>
    </xf>
    <xf numFmtId="44" fontId="49" fillId="20" borderId="66" xfId="1" applyFont="1" applyFill="1" applyBorder="1" applyAlignment="1">
      <alignment shrinkToFit="1"/>
    </xf>
    <xf numFmtId="44" fontId="49" fillId="20" borderId="69" xfId="1" applyFont="1" applyFill="1" applyBorder="1" applyAlignment="1">
      <alignment shrinkToFit="1"/>
    </xf>
    <xf numFmtId="44" fontId="22" fillId="20" borderId="65" xfId="1" applyFont="1" applyFill="1" applyBorder="1" applyAlignment="1">
      <alignment shrinkToFit="1"/>
    </xf>
    <xf numFmtId="44" fontId="22" fillId="20" borderId="66" xfId="1" applyFont="1" applyFill="1" applyBorder="1" applyAlignment="1">
      <alignment shrinkToFit="1"/>
    </xf>
    <xf numFmtId="44" fontId="22" fillId="20" borderId="69" xfId="1" applyFont="1" applyFill="1" applyBorder="1" applyAlignment="1">
      <alignment shrinkToFit="1"/>
    </xf>
    <xf numFmtId="44" fontId="49" fillId="20" borderId="16" xfId="1" applyFont="1" applyFill="1" applyBorder="1" applyAlignment="1">
      <alignment shrinkToFit="1"/>
    </xf>
    <xf numFmtId="44" fontId="49" fillId="20" borderId="17" xfId="1" applyFont="1" applyFill="1" applyBorder="1" applyAlignment="1">
      <alignment shrinkToFit="1"/>
    </xf>
    <xf numFmtId="44" fontId="49" fillId="20" borderId="18" xfId="1" applyFont="1" applyFill="1" applyBorder="1" applyAlignment="1">
      <alignment shrinkToFit="1"/>
    </xf>
    <xf numFmtId="44" fontId="22" fillId="20" borderId="16" xfId="1" applyFont="1" applyFill="1" applyBorder="1" applyAlignment="1">
      <alignment shrinkToFit="1"/>
    </xf>
    <xf numFmtId="44" fontId="22" fillId="20" borderId="17" xfId="1" applyFont="1" applyFill="1" applyBorder="1" applyAlignment="1">
      <alignment shrinkToFit="1"/>
    </xf>
    <xf numFmtId="44" fontId="22" fillId="20" borderId="18" xfId="1" applyFont="1" applyFill="1" applyBorder="1" applyAlignment="1">
      <alignment shrinkToFit="1"/>
    </xf>
    <xf numFmtId="44" fontId="49" fillId="20" borderId="48" xfId="1" applyFont="1" applyFill="1" applyBorder="1" applyAlignment="1">
      <alignment shrinkToFit="1"/>
    </xf>
    <xf numFmtId="44" fontId="49" fillId="20" borderId="21" xfId="1" applyFont="1" applyFill="1" applyBorder="1" applyAlignment="1">
      <alignment shrinkToFit="1"/>
    </xf>
    <xf numFmtId="44" fontId="22" fillId="20" borderId="48" xfId="1" applyFont="1" applyFill="1" applyBorder="1" applyAlignment="1">
      <alignment shrinkToFit="1"/>
    </xf>
    <xf numFmtId="44" fontId="22" fillId="20" borderId="21" xfId="1" applyFont="1" applyFill="1" applyBorder="1" applyAlignment="1">
      <alignment shrinkToFit="1"/>
    </xf>
    <xf numFmtId="0" fontId="63" fillId="0" borderId="0" xfId="0" applyFont="1" applyAlignment="1">
      <alignment shrinkToFit="1"/>
    </xf>
    <xf numFmtId="0" fontId="49" fillId="0" borderId="15" xfId="0" applyFont="1" applyBorder="1" applyAlignment="1">
      <alignment horizontal="center" shrinkToFit="1"/>
    </xf>
    <xf numFmtId="0" fontId="2" fillId="0" borderId="15" xfId="0" applyFont="1" applyBorder="1" applyAlignment="1">
      <alignment horizontal="center" shrinkToFit="1"/>
    </xf>
    <xf numFmtId="0" fontId="22" fillId="0" borderId="15" xfId="0" applyFont="1" applyBorder="1" applyAlignment="1">
      <alignment horizontal="center" shrinkToFit="1"/>
    </xf>
    <xf numFmtId="0" fontId="49" fillId="17" borderId="56" xfId="0" applyFont="1" applyFill="1" applyBorder="1" applyAlignment="1">
      <alignment horizontal="right" shrinkToFit="1"/>
    </xf>
    <xf numFmtId="0" fontId="49" fillId="17" borderId="33" xfId="0" applyFont="1" applyFill="1" applyBorder="1" applyAlignment="1">
      <alignment horizontal="right" shrinkToFit="1"/>
    </xf>
    <xf numFmtId="0" fontId="49" fillId="17" borderId="47" xfId="0" applyFont="1" applyFill="1" applyBorder="1" applyAlignment="1">
      <alignment horizontal="right" shrinkToFit="1"/>
    </xf>
    <xf numFmtId="0" fontId="2" fillId="17" borderId="56" xfId="0" applyFont="1" applyFill="1" applyBorder="1" applyAlignment="1">
      <alignment horizontal="right" shrinkToFit="1"/>
    </xf>
    <xf numFmtId="0" fontId="2" fillId="17" borderId="33" xfId="0" applyFont="1" applyFill="1" applyBorder="1" applyAlignment="1">
      <alignment horizontal="right" shrinkToFit="1"/>
    </xf>
    <xf numFmtId="0" fontId="2" fillId="17" borderId="47" xfId="0" applyFont="1" applyFill="1" applyBorder="1" applyAlignment="1">
      <alignment horizontal="right" shrinkToFit="1"/>
    </xf>
    <xf numFmtId="0" fontId="22" fillId="17" borderId="56" xfId="0" applyFont="1" applyFill="1" applyBorder="1" applyAlignment="1">
      <alignment horizontal="right" shrinkToFit="1"/>
    </xf>
    <xf numFmtId="0" fontId="22" fillId="17" borderId="33" xfId="0" applyFont="1" applyFill="1" applyBorder="1" applyAlignment="1">
      <alignment horizontal="right" shrinkToFit="1"/>
    </xf>
    <xf numFmtId="0" fontId="22" fillId="17" borderId="47" xfId="0" applyFont="1" applyFill="1" applyBorder="1" applyAlignment="1">
      <alignment horizontal="right" shrinkToFit="1"/>
    </xf>
    <xf numFmtId="0" fontId="49" fillId="0" borderId="19" xfId="0" applyFont="1" applyBorder="1" applyAlignment="1">
      <alignment shrinkToFit="1"/>
    </xf>
    <xf numFmtId="0" fontId="2" fillId="0" borderId="19" xfId="0" applyFont="1" applyBorder="1" applyAlignment="1">
      <alignment shrinkToFit="1"/>
    </xf>
    <xf numFmtId="0" fontId="22" fillId="0" borderId="19" xfId="0" applyFont="1" applyBorder="1" applyAlignment="1">
      <alignment shrinkToFit="1"/>
    </xf>
    <xf numFmtId="0" fontId="49" fillId="0" borderId="32" xfId="0" applyFont="1" applyBorder="1" applyAlignment="1">
      <alignment shrinkToFit="1"/>
    </xf>
    <xf numFmtId="0" fontId="2" fillId="0" borderId="32" xfId="0" applyFont="1" applyBorder="1" applyAlignment="1">
      <alignment shrinkToFit="1"/>
    </xf>
    <xf numFmtId="0" fontId="22" fillId="0" borderId="32" xfId="0" applyFont="1" applyBorder="1" applyAlignment="1">
      <alignment shrinkToFit="1"/>
    </xf>
    <xf numFmtId="0" fontId="49" fillId="17" borderId="15" xfId="0" applyFont="1" applyFill="1" applyBorder="1" applyAlignment="1">
      <alignment horizontal="right" shrinkToFit="1"/>
    </xf>
    <xf numFmtId="0" fontId="2" fillId="17" borderId="15" xfId="0" applyFont="1" applyFill="1" applyBorder="1" applyAlignment="1">
      <alignment horizontal="right" shrinkToFit="1"/>
    </xf>
    <xf numFmtId="0" fontId="22" fillId="17" borderId="15" xfId="0" applyFont="1" applyFill="1" applyBorder="1" applyAlignment="1">
      <alignment horizontal="right" shrinkToFit="1"/>
    </xf>
    <xf numFmtId="0" fontId="49" fillId="17" borderId="22" xfId="0" applyFont="1" applyFill="1" applyBorder="1" applyAlignment="1">
      <alignment shrinkToFit="1"/>
    </xf>
    <xf numFmtId="0" fontId="22" fillId="17" borderId="22" xfId="0" applyFont="1" applyFill="1" applyBorder="1" applyAlignment="1">
      <alignment shrinkToFit="1"/>
    </xf>
    <xf numFmtId="0" fontId="48" fillId="9" borderId="53" xfId="0" applyFont="1" applyFill="1" applyBorder="1" applyAlignment="1">
      <alignment shrinkToFit="1"/>
    </xf>
    <xf numFmtId="44" fontId="51" fillId="9" borderId="59" xfId="0" applyNumberFormat="1" applyFont="1" applyFill="1" applyBorder="1" applyAlignment="1">
      <alignment shrinkToFit="1"/>
    </xf>
    <xf numFmtId="0" fontId="21" fillId="9" borderId="53" xfId="0" applyFont="1" applyFill="1" applyBorder="1" applyAlignment="1">
      <alignment shrinkToFit="1"/>
    </xf>
    <xf numFmtId="44" fontId="30" fillId="9" borderId="59" xfId="0" applyNumberFormat="1" applyFont="1" applyFill="1" applyBorder="1" applyAlignment="1">
      <alignment shrinkToFit="1"/>
    </xf>
    <xf numFmtId="0" fontId="48" fillId="17" borderId="49" xfId="0" applyFont="1" applyFill="1" applyBorder="1" applyAlignment="1">
      <alignment shrinkToFit="1"/>
    </xf>
    <xf numFmtId="165" fontId="48" fillId="17" borderId="50" xfId="0" applyNumberFormat="1" applyFont="1" applyFill="1" applyBorder="1" applyAlignment="1">
      <alignment shrinkToFit="1"/>
    </xf>
    <xf numFmtId="0" fontId="21" fillId="17" borderId="49" xfId="0" applyFont="1" applyFill="1" applyBorder="1" applyAlignment="1">
      <alignment shrinkToFit="1"/>
    </xf>
    <xf numFmtId="165" fontId="21" fillId="17" borderId="50" xfId="0" applyNumberFormat="1" applyFont="1" applyFill="1" applyBorder="1" applyAlignment="1">
      <alignment shrinkToFit="1"/>
    </xf>
    <xf numFmtId="44" fontId="48" fillId="0" borderId="43" xfId="1" applyFont="1" applyBorder="1" applyAlignment="1">
      <alignment horizontal="center" shrinkToFit="1"/>
    </xf>
    <xf numFmtId="44" fontId="48" fillId="0" borderId="13" xfId="1" applyFont="1" applyBorder="1" applyAlignment="1">
      <alignment horizontal="center" shrinkToFit="1"/>
    </xf>
    <xf numFmtId="44" fontId="21" fillId="0" borderId="43" xfId="1" applyFont="1" applyBorder="1" applyAlignment="1">
      <alignment horizontal="center" shrinkToFit="1"/>
    </xf>
    <xf numFmtId="44" fontId="21" fillId="0" borderId="13" xfId="1" applyFont="1" applyBorder="1" applyAlignment="1">
      <alignment horizontal="center" shrinkToFit="1"/>
    </xf>
    <xf numFmtId="0" fontId="48" fillId="9" borderId="13" xfId="0" applyFont="1" applyFill="1" applyBorder="1" applyAlignment="1">
      <alignment shrinkToFit="1"/>
    </xf>
    <xf numFmtId="0" fontId="21" fillId="9" borderId="43" xfId="0" applyFont="1" applyFill="1" applyBorder="1" applyAlignment="1">
      <alignment shrinkToFit="1"/>
    </xf>
    <xf numFmtId="0" fontId="21" fillId="9" borderId="13" xfId="0" applyFont="1" applyFill="1" applyBorder="1" applyAlignment="1">
      <alignment shrinkToFit="1"/>
    </xf>
    <xf numFmtId="0" fontId="48" fillId="9" borderId="38" xfId="0" applyFont="1" applyFill="1" applyBorder="1" applyAlignment="1">
      <alignment shrinkToFit="1"/>
    </xf>
    <xf numFmtId="44" fontId="48" fillId="0" borderId="38" xfId="1" applyFont="1" applyBorder="1" applyAlignment="1">
      <alignment horizontal="center" shrinkToFit="1"/>
    </xf>
    <xf numFmtId="0" fontId="21" fillId="9" borderId="38" xfId="0" applyFont="1" applyFill="1" applyBorder="1" applyAlignment="1">
      <alignment shrinkToFit="1"/>
    </xf>
    <xf numFmtId="44" fontId="21" fillId="0" borderId="38" xfId="1" applyFont="1" applyBorder="1" applyAlignment="1">
      <alignment horizontal="center" shrinkToFit="1"/>
    </xf>
    <xf numFmtId="0" fontId="48" fillId="9" borderId="15" xfId="0" applyFont="1" applyFill="1" applyBorder="1" applyAlignment="1">
      <alignment shrinkToFit="1"/>
    </xf>
    <xf numFmtId="0" fontId="21" fillId="9" borderId="15" xfId="0" applyFont="1" applyFill="1" applyBorder="1" applyAlignment="1">
      <alignment shrinkToFit="1"/>
    </xf>
    <xf numFmtId="0" fontId="48" fillId="10" borderId="15" xfId="0" applyFont="1" applyFill="1" applyBorder="1"/>
    <xf numFmtId="0" fontId="21" fillId="10" borderId="15" xfId="0" applyFont="1" applyFill="1" applyBorder="1"/>
    <xf numFmtId="0" fontId="48" fillId="10" borderId="15" xfId="0" applyFont="1" applyFill="1" applyBorder="1" applyAlignment="1">
      <alignment horizontal="center" shrinkToFit="1"/>
    </xf>
    <xf numFmtId="0" fontId="21" fillId="10" borderId="15" xfId="0" applyFont="1" applyFill="1" applyBorder="1" applyAlignment="1">
      <alignment horizontal="center" shrinkToFit="1"/>
    </xf>
    <xf numFmtId="44" fontId="48" fillId="10" borderId="49" xfId="1" applyFont="1" applyFill="1" applyBorder="1" applyAlignment="1">
      <alignment shrinkToFit="1"/>
    </xf>
    <xf numFmtId="44" fontId="49" fillId="10" borderId="51" xfId="0" applyNumberFormat="1" applyFont="1" applyFill="1" applyBorder="1" applyAlignment="1">
      <alignment shrinkToFit="1"/>
    </xf>
    <xf numFmtId="0" fontId="49" fillId="10" borderId="50" xfId="0" applyFont="1" applyFill="1" applyBorder="1" applyAlignment="1">
      <alignment shrinkToFit="1"/>
    </xf>
    <xf numFmtId="44" fontId="21" fillId="10" borderId="49" xfId="1" applyFont="1" applyFill="1" applyBorder="1" applyAlignment="1">
      <alignment shrinkToFit="1"/>
    </xf>
    <xf numFmtId="44" fontId="22" fillId="10" borderId="51" xfId="0" applyNumberFormat="1" applyFont="1" applyFill="1" applyBorder="1" applyAlignment="1">
      <alignment shrinkToFit="1"/>
    </xf>
    <xf numFmtId="0" fontId="22" fillId="10" borderId="50" xfId="0" applyFont="1" applyFill="1" applyBorder="1" applyAlignment="1">
      <alignment shrinkToFit="1"/>
    </xf>
    <xf numFmtId="0" fontId="48" fillId="10" borderId="3" xfId="0" applyFont="1" applyFill="1" applyBorder="1" applyAlignment="1">
      <alignment horizontal="center" shrinkToFit="1"/>
    </xf>
    <xf numFmtId="0" fontId="48" fillId="10" borderId="1" xfId="0" applyFont="1" applyFill="1" applyBorder="1" applyAlignment="1">
      <alignment horizontal="center" shrinkToFit="1"/>
    </xf>
    <xf numFmtId="0" fontId="8" fillId="10" borderId="3" xfId="0" applyFont="1" applyFill="1" applyBorder="1" applyAlignment="1">
      <alignment horizontal="center" shrinkToFit="1"/>
    </xf>
    <xf numFmtId="0" fontId="8" fillId="10" borderId="1" xfId="0" applyFont="1" applyFill="1" applyBorder="1" applyAlignment="1">
      <alignment horizontal="center" shrinkToFit="1"/>
    </xf>
    <xf numFmtId="44" fontId="49" fillId="8" borderId="0" xfId="1" applyFont="1" applyFill="1"/>
    <xf numFmtId="44" fontId="10" fillId="8" borderId="0" xfId="1" applyFont="1" applyFill="1"/>
    <xf numFmtId="44" fontId="22" fillId="8" borderId="0" xfId="1" applyFont="1" applyFill="1"/>
    <xf numFmtId="0" fontId="48" fillId="10" borderId="2" xfId="0" applyFont="1" applyFill="1" applyBorder="1" applyAlignment="1">
      <alignment horizontal="center" shrinkToFit="1"/>
    </xf>
    <xf numFmtId="0" fontId="6" fillId="10" borderId="3" xfId="0" applyFont="1" applyFill="1" applyBorder="1" applyAlignment="1">
      <alignment horizontal="center" shrinkToFit="1"/>
    </xf>
    <xf numFmtId="0" fontId="8" fillId="10" borderId="2" xfId="0" applyFont="1" applyFill="1" applyBorder="1" applyAlignment="1">
      <alignment horizontal="center" shrinkToFit="1"/>
    </xf>
    <xf numFmtId="0" fontId="3" fillId="10" borderId="3" xfId="0" applyFont="1" applyFill="1" applyBorder="1" applyAlignment="1">
      <alignment horizontal="center" shrinkToFit="1"/>
    </xf>
    <xf numFmtId="0" fontId="48" fillId="10" borderId="10" xfId="0" applyFont="1" applyFill="1" applyBorder="1" applyAlignment="1">
      <alignment horizontal="center" shrinkToFit="1"/>
    </xf>
    <xf numFmtId="0" fontId="8" fillId="10" borderId="10" xfId="0" applyFont="1" applyFill="1" applyBorder="1" applyAlignment="1">
      <alignment horizontal="center" shrinkToFit="1"/>
    </xf>
    <xf numFmtId="0" fontId="49" fillId="10" borderId="22" xfId="0" applyFont="1" applyFill="1" applyBorder="1" applyAlignment="1">
      <alignment shrinkToFit="1"/>
    </xf>
    <xf numFmtId="0" fontId="2" fillId="10" borderId="22" xfId="0" applyFont="1" applyFill="1" applyBorder="1" applyAlignment="1">
      <alignment shrinkToFit="1"/>
    </xf>
    <xf numFmtId="0" fontId="22" fillId="10" borderId="22" xfId="0" applyFont="1" applyFill="1" applyBorder="1" applyAlignment="1">
      <alignment shrinkToFit="1"/>
    </xf>
    <xf numFmtId="44" fontId="49" fillId="0" borderId="12" xfId="1" applyFont="1" applyBorder="1" applyAlignment="1">
      <alignment shrinkToFit="1"/>
    </xf>
    <xf numFmtId="44" fontId="49" fillId="0" borderId="13" xfId="1" applyFont="1" applyBorder="1" applyAlignment="1">
      <alignment shrinkToFit="1"/>
    </xf>
    <xf numFmtId="44" fontId="49" fillId="0" borderId="14" xfId="1" applyFont="1" applyBorder="1" applyAlignment="1">
      <alignment shrinkToFit="1"/>
    </xf>
    <xf numFmtId="44" fontId="49" fillId="0" borderId="43" xfId="1" applyFont="1" applyBorder="1" applyAlignment="1">
      <alignment shrinkToFit="1"/>
    </xf>
    <xf numFmtId="44" fontId="49" fillId="0" borderId="38" xfId="1" applyFont="1" applyBorder="1" applyAlignment="1">
      <alignment shrinkToFit="1"/>
    </xf>
    <xf numFmtId="44" fontId="2" fillId="0" borderId="12" xfId="1" applyFont="1" applyBorder="1" applyAlignment="1">
      <alignment shrinkToFit="1"/>
    </xf>
    <xf numFmtId="44" fontId="22" fillId="0" borderId="13" xfId="1" applyFont="1" applyBorder="1" applyAlignment="1">
      <alignment shrinkToFit="1"/>
    </xf>
    <xf numFmtId="44" fontId="2" fillId="0" borderId="13" xfId="1" applyFont="1" applyBorder="1" applyAlignment="1">
      <alignment shrinkToFit="1"/>
    </xf>
    <xf numFmtId="44" fontId="2" fillId="0" borderId="14" xfId="1" applyFont="1" applyBorder="1" applyAlignment="1">
      <alignment shrinkToFit="1"/>
    </xf>
    <xf numFmtId="44" fontId="2" fillId="0" borderId="43" xfId="1" applyFont="1" applyBorder="1" applyAlignment="1">
      <alignment shrinkToFit="1"/>
    </xf>
    <xf numFmtId="44" fontId="2" fillId="0" borderId="38" xfId="1" applyFont="1" applyBorder="1" applyAlignment="1">
      <alignment shrinkToFit="1"/>
    </xf>
    <xf numFmtId="44" fontId="22" fillId="0" borderId="12" xfId="1" applyFont="1" applyBorder="1" applyAlignment="1">
      <alignment shrinkToFit="1"/>
    </xf>
    <xf numFmtId="44" fontId="22" fillId="0" borderId="14" xfId="1" applyFont="1" applyBorder="1" applyAlignment="1">
      <alignment shrinkToFit="1"/>
    </xf>
    <xf numFmtId="44" fontId="22" fillId="0" borderId="43" xfId="1" applyFont="1" applyBorder="1" applyAlignment="1">
      <alignment shrinkToFit="1"/>
    </xf>
    <xf numFmtId="44" fontId="22" fillId="0" borderId="38" xfId="1" applyFont="1" applyBorder="1" applyAlignment="1">
      <alignment shrinkToFit="1"/>
    </xf>
    <xf numFmtId="44" fontId="49" fillId="0" borderId="15" xfId="1" applyFont="1" applyBorder="1" applyAlignment="1">
      <alignment shrinkToFit="1"/>
    </xf>
    <xf numFmtId="44" fontId="2" fillId="0" borderId="15" xfId="1" applyFont="1" applyBorder="1" applyAlignment="1">
      <alignment shrinkToFit="1"/>
    </xf>
    <xf numFmtId="44" fontId="22" fillId="0" borderId="15" xfId="1" applyFont="1" applyBorder="1" applyAlignment="1">
      <alignment shrinkToFit="1"/>
    </xf>
    <xf numFmtId="44" fontId="49" fillId="9" borderId="15" xfId="1" applyFont="1" applyFill="1" applyBorder="1" applyAlignment="1">
      <alignment shrinkToFit="1"/>
    </xf>
    <xf numFmtId="44" fontId="22" fillId="9" borderId="15" xfId="1" applyFont="1" applyFill="1" applyBorder="1" applyAlignment="1">
      <alignment shrinkToFit="1"/>
    </xf>
    <xf numFmtId="44" fontId="49" fillId="0" borderId="23" xfId="1" applyFont="1" applyBorder="1" applyAlignment="1">
      <alignment shrinkToFit="1"/>
    </xf>
    <xf numFmtId="44" fontId="49" fillId="0" borderId="27" xfId="1" applyFont="1" applyBorder="1" applyAlignment="1">
      <alignment shrinkToFit="1"/>
    </xf>
    <xf numFmtId="44" fontId="49" fillId="0" borderId="29" xfId="1" applyFont="1" applyBorder="1" applyAlignment="1">
      <alignment shrinkToFit="1"/>
    </xf>
    <xf numFmtId="44" fontId="22" fillId="0" borderId="23" xfId="1" applyFont="1" applyBorder="1" applyAlignment="1">
      <alignment shrinkToFit="1"/>
    </xf>
    <xf numFmtId="44" fontId="22" fillId="0" borderId="27" xfId="1" applyFont="1" applyBorder="1" applyAlignment="1">
      <alignment shrinkToFit="1"/>
    </xf>
    <xf numFmtId="44" fontId="22" fillId="0" borderId="29" xfId="1" applyFont="1" applyBorder="1" applyAlignment="1">
      <alignment shrinkToFit="1"/>
    </xf>
    <xf numFmtId="44" fontId="2" fillId="0" borderId="0" xfId="0" applyNumberFormat="1" applyFont="1" applyAlignment="1">
      <alignment shrinkToFit="1"/>
    </xf>
    <xf numFmtId="0" fontId="49" fillId="17" borderId="15" xfId="0" applyFont="1" applyFill="1" applyBorder="1" applyAlignment="1">
      <alignment shrinkToFit="1"/>
    </xf>
    <xf numFmtId="0" fontId="33" fillId="20" borderId="16" xfId="3" applyFont="1" applyFill="1" applyBorder="1"/>
    <xf numFmtId="0" fontId="33" fillId="20" borderId="17" xfId="3" applyFont="1" applyFill="1" applyBorder="1"/>
    <xf numFmtId="0" fontId="33" fillId="20" borderId="18" xfId="3" applyFont="1" applyFill="1" applyBorder="1"/>
    <xf numFmtId="44" fontId="22" fillId="8" borderId="73" xfId="1" applyFont="1" applyFill="1" applyBorder="1" applyAlignment="1">
      <alignment shrinkToFit="1"/>
    </xf>
    <xf numFmtId="0" fontId="32" fillId="20" borderId="54" xfId="0" applyFont="1" applyFill="1" applyBorder="1" applyAlignment="1">
      <alignment horizontal="center" shrinkToFit="1"/>
    </xf>
    <xf numFmtId="0" fontId="32" fillId="20" borderId="42" xfId="0" applyFont="1" applyFill="1" applyBorder="1" applyAlignment="1">
      <alignment horizontal="center" shrinkToFit="1"/>
    </xf>
    <xf numFmtId="0" fontId="32" fillId="20" borderId="39" xfId="0" applyFont="1" applyFill="1" applyBorder="1" applyAlignment="1">
      <alignment horizontal="center" shrinkToFit="1"/>
    </xf>
    <xf numFmtId="0" fontId="48" fillId="20" borderId="22" xfId="0" applyFont="1" applyFill="1" applyBorder="1" applyAlignment="1">
      <alignment horizontal="center" shrinkToFit="1"/>
    </xf>
    <xf numFmtId="44" fontId="22" fillId="8" borderId="25" xfId="1" applyFont="1" applyFill="1" applyBorder="1" applyAlignment="1">
      <alignment shrinkToFit="1"/>
    </xf>
    <xf numFmtId="44" fontId="22" fillId="8" borderId="28" xfId="1" applyFont="1" applyFill="1" applyBorder="1" applyAlignment="1">
      <alignment shrinkToFit="1"/>
    </xf>
    <xf numFmtId="44" fontId="22" fillId="8" borderId="45" xfId="1" applyFont="1" applyFill="1" applyBorder="1" applyAlignment="1">
      <alignment shrinkToFit="1"/>
    </xf>
    <xf numFmtId="0" fontId="57" fillId="20" borderId="16" xfId="0" applyFont="1" applyFill="1" applyBorder="1" applyAlignment="1">
      <alignment shrinkToFit="1"/>
    </xf>
    <xf numFmtId="0" fontId="57" fillId="20" borderId="17" xfId="0" applyFont="1" applyFill="1" applyBorder="1" applyAlignment="1">
      <alignment shrinkToFit="1"/>
    </xf>
    <xf numFmtId="0" fontId="34" fillId="20" borderId="18" xfId="0" applyFont="1" applyFill="1" applyBorder="1" applyAlignment="1">
      <alignment shrinkToFit="1"/>
    </xf>
    <xf numFmtId="0" fontId="45" fillId="20" borderId="16" xfId="3" applyFont="1" applyFill="1" applyBorder="1" applyAlignment="1">
      <alignment horizontal="left"/>
    </xf>
    <xf numFmtId="0" fontId="45" fillId="20" borderId="17" xfId="3" applyFont="1" applyFill="1" applyBorder="1" applyAlignment="1">
      <alignment horizontal="left"/>
    </xf>
    <xf numFmtId="0" fontId="45" fillId="20" borderId="17" xfId="3" applyFont="1" applyFill="1" applyBorder="1"/>
    <xf numFmtId="0" fontId="64" fillId="20" borderId="17" xfId="0" applyFont="1" applyFill="1" applyBorder="1" applyAlignment="1">
      <alignment shrinkToFit="1"/>
    </xf>
    <xf numFmtId="0" fontId="34" fillId="20" borderId="16" xfId="3" applyFont="1" applyFill="1" applyBorder="1" applyAlignment="1">
      <alignment horizontal="left"/>
    </xf>
    <xf numFmtId="0" fontId="34" fillId="20" borderId="17" xfId="3" applyFont="1" applyFill="1" applyBorder="1" applyAlignment="1">
      <alignment horizontal="left"/>
    </xf>
    <xf numFmtId="0" fontId="65" fillId="20" borderId="18" xfId="3" applyFont="1" applyFill="1" applyBorder="1" applyAlignment="1">
      <alignment horizontal="left" wrapText="1"/>
    </xf>
    <xf numFmtId="0" fontId="34" fillId="20" borderId="16" xfId="3" applyFont="1" applyFill="1" applyBorder="1"/>
    <xf numFmtId="0" fontId="34" fillId="20" borderId="17" xfId="3" applyFont="1" applyFill="1" applyBorder="1"/>
    <xf numFmtId="0" fontId="34" fillId="20" borderId="18" xfId="3" applyFont="1" applyFill="1" applyBorder="1"/>
    <xf numFmtId="164" fontId="10" fillId="8" borderId="3" xfId="0" applyNumberFormat="1" applyFont="1" applyFill="1" applyBorder="1"/>
    <xf numFmtId="164" fontId="10" fillId="8" borderId="51" xfId="0" applyNumberFormat="1" applyFont="1" applyFill="1" applyBorder="1"/>
    <xf numFmtId="164" fontId="10" fillId="8" borderId="24" xfId="0" applyNumberFormat="1" applyFont="1" applyFill="1" applyBorder="1"/>
    <xf numFmtId="164" fontId="10" fillId="8" borderId="44" xfId="0" applyNumberFormat="1" applyFont="1" applyFill="1" applyBorder="1"/>
    <xf numFmtId="168" fontId="10" fillId="0" borderId="2" xfId="4" applyNumberFormat="1" applyFont="1" applyBorder="1"/>
    <xf numFmtId="9" fontId="10" fillId="0" borderId="2" xfId="4" applyFont="1" applyBorder="1"/>
    <xf numFmtId="9" fontId="20" fillId="8" borderId="70" xfId="4" applyFont="1" applyFill="1" applyBorder="1"/>
    <xf numFmtId="9" fontId="10" fillId="16" borderId="12" xfId="4" applyFont="1" applyFill="1" applyBorder="1"/>
    <xf numFmtId="9" fontId="10" fillId="16" borderId="13" xfId="4" applyFont="1" applyFill="1" applyBorder="1"/>
    <xf numFmtId="9" fontId="10" fillId="16" borderId="14" xfId="4" applyFont="1" applyFill="1" applyBorder="1"/>
    <xf numFmtId="9" fontId="10" fillId="16" borderId="15" xfId="4" applyFont="1" applyFill="1" applyBorder="1"/>
    <xf numFmtId="9" fontId="17" fillId="16" borderId="43" xfId="4" applyFont="1" applyFill="1" applyBorder="1"/>
    <xf numFmtId="9" fontId="17" fillId="16" borderId="13" xfId="4" applyFont="1" applyFill="1" applyBorder="1"/>
    <xf numFmtId="0" fontId="57" fillId="20" borderId="48" xfId="0" applyFont="1" applyFill="1" applyBorder="1" applyAlignment="1">
      <alignment shrinkToFit="1"/>
    </xf>
    <xf numFmtId="9" fontId="17" fillId="16" borderId="15" xfId="4" applyFont="1" applyFill="1" applyBorder="1"/>
    <xf numFmtId="0" fontId="34" fillId="20" borderId="21" xfId="0" applyFont="1" applyFill="1" applyBorder="1" applyAlignment="1">
      <alignment shrinkToFit="1"/>
    </xf>
    <xf numFmtId="9" fontId="17" fillId="16" borderId="38" xfId="4" applyFont="1" applyFill="1" applyBorder="1"/>
    <xf numFmtId="172" fontId="10" fillId="17" borderId="70" xfId="6" applyNumberFormat="1" applyFont="1" applyFill="1" applyBorder="1"/>
    <xf numFmtId="168" fontId="20" fillId="8" borderId="70" xfId="4" applyNumberFormat="1" applyFont="1" applyFill="1" applyBorder="1"/>
    <xf numFmtId="164" fontId="10" fillId="8" borderId="70" xfId="0" applyNumberFormat="1" applyFont="1" applyFill="1" applyBorder="1"/>
    <xf numFmtId="44" fontId="20" fillId="8" borderId="70" xfId="1" applyFont="1" applyFill="1" applyBorder="1"/>
    <xf numFmtId="0" fontId="10" fillId="0" borderId="19" xfId="0" applyFont="1" applyBorder="1"/>
    <xf numFmtId="9" fontId="9" fillId="8" borderId="15" xfId="4" applyFont="1" applyFill="1" applyBorder="1"/>
    <xf numFmtId="0" fontId="65" fillId="20" borderId="19" xfId="3" applyFont="1" applyFill="1" applyBorder="1" applyAlignment="1">
      <alignment horizontal="left" wrapText="1"/>
    </xf>
    <xf numFmtId="9" fontId="27" fillId="15" borderId="61" xfId="4" applyFont="1" applyFill="1" applyBorder="1"/>
    <xf numFmtId="9" fontId="27" fillId="15" borderId="37" xfId="4" applyFont="1" applyFill="1" applyBorder="1"/>
    <xf numFmtId="9" fontId="27" fillId="15" borderId="60" xfId="4" applyFont="1" applyFill="1" applyBorder="1"/>
    <xf numFmtId="9" fontId="27" fillId="15" borderId="58" xfId="4" applyFont="1" applyFill="1" applyBorder="1"/>
    <xf numFmtId="9" fontId="27" fillId="15" borderId="55" xfId="4" applyFont="1" applyFill="1" applyBorder="1"/>
    <xf numFmtId="171" fontId="20" fillId="8" borderId="60" xfId="4" applyNumberFormat="1" applyFont="1" applyFill="1" applyBorder="1"/>
    <xf numFmtId="165" fontId="27" fillId="15" borderId="12" xfId="2" applyFont="1" applyFill="1" applyBorder="1"/>
    <xf numFmtId="165" fontId="27" fillId="15" borderId="13" xfId="2" applyFont="1" applyFill="1" applyBorder="1"/>
    <xf numFmtId="165" fontId="27" fillId="15" borderId="14" xfId="2" applyFont="1" applyFill="1" applyBorder="1"/>
    <xf numFmtId="44" fontId="27" fillId="15" borderId="15" xfId="1" applyFont="1" applyFill="1" applyBorder="1"/>
    <xf numFmtId="44" fontId="27" fillId="15" borderId="43" xfId="1" applyFont="1" applyFill="1" applyBorder="1"/>
    <xf numFmtId="44" fontId="27" fillId="15" borderId="13" xfId="1" applyFont="1" applyFill="1" applyBorder="1"/>
    <xf numFmtId="44" fontId="27" fillId="15" borderId="38" xfId="1" applyFont="1" applyFill="1" applyBorder="1"/>
    <xf numFmtId="164" fontId="10" fillId="8" borderId="26" xfId="0" applyNumberFormat="1" applyFont="1" applyFill="1" applyBorder="1"/>
    <xf numFmtId="164" fontId="10" fillId="8" borderId="10" xfId="0" applyNumberFormat="1" applyFont="1" applyFill="1" applyBorder="1"/>
    <xf numFmtId="164" fontId="10" fillId="8" borderId="46" xfId="0" applyNumberFormat="1" applyFont="1" applyFill="1" applyBorder="1"/>
    <xf numFmtId="164" fontId="10" fillId="8" borderId="52" xfId="0" applyNumberFormat="1" applyFont="1" applyFill="1" applyBorder="1"/>
    <xf numFmtId="168" fontId="17" fillId="8" borderId="52" xfId="4" applyNumberFormat="1" applyFont="1" applyFill="1" applyBorder="1"/>
    <xf numFmtId="168" fontId="17" fillId="8" borderId="7" xfId="4" applyNumberFormat="1" applyFont="1" applyFill="1" applyBorder="1"/>
    <xf numFmtId="168" fontId="17" fillId="8" borderId="10" xfId="4" applyNumberFormat="1" applyFont="1" applyFill="1" applyBorder="1"/>
    <xf numFmtId="168" fontId="17" fillId="8" borderId="5" xfId="4" applyNumberFormat="1" applyFont="1" applyFill="1" applyBorder="1"/>
    <xf numFmtId="168" fontId="20" fillId="8" borderId="52" xfId="4" applyNumberFormat="1" applyFont="1" applyFill="1" applyBorder="1"/>
    <xf numFmtId="44" fontId="10" fillId="16" borderId="12" xfId="1" applyFont="1" applyFill="1" applyBorder="1"/>
    <xf numFmtId="44" fontId="10" fillId="16" borderId="13" xfId="1" applyFont="1" applyFill="1" applyBorder="1"/>
    <xf numFmtId="44" fontId="10" fillId="16" borderId="14" xfId="1" applyFont="1" applyFill="1" applyBorder="1"/>
    <xf numFmtId="44" fontId="10" fillId="16" borderId="15" xfId="1" applyFont="1" applyFill="1" applyBorder="1"/>
    <xf numFmtId="44" fontId="20" fillId="8" borderId="15" xfId="1" applyFont="1" applyFill="1" applyBorder="1"/>
    <xf numFmtId="165" fontId="27" fillId="15" borderId="16" xfId="2" applyFont="1" applyFill="1" applyBorder="1"/>
    <xf numFmtId="165" fontId="27" fillId="15" borderId="17" xfId="2" applyFont="1" applyFill="1" applyBorder="1"/>
    <xf numFmtId="165" fontId="27" fillId="15" borderId="18" xfId="2" applyFont="1" applyFill="1" applyBorder="1"/>
    <xf numFmtId="164" fontId="10" fillId="8" borderId="61" xfId="0" applyNumberFormat="1" applyFont="1" applyFill="1" applyBorder="1"/>
    <xf numFmtId="164" fontId="10" fillId="8" borderId="37" xfId="0" applyNumberFormat="1" applyFont="1" applyFill="1" applyBorder="1"/>
    <xf numFmtId="164" fontId="10" fillId="8" borderId="62" xfId="0" applyNumberFormat="1" applyFont="1" applyFill="1" applyBorder="1"/>
    <xf numFmtId="9" fontId="27" fillId="21" borderId="73" xfId="4" applyFont="1" applyFill="1" applyBorder="1"/>
    <xf numFmtId="9" fontId="27" fillId="15" borderId="12" xfId="4" applyFont="1" applyFill="1" applyBorder="1"/>
    <xf numFmtId="9" fontId="27" fillId="15" borderId="13" xfId="4" applyFont="1" applyFill="1" applyBorder="1"/>
    <xf numFmtId="9" fontId="27" fillId="15" borderId="14" xfId="4" applyFont="1" applyFill="1" applyBorder="1"/>
    <xf numFmtId="44" fontId="20" fillId="19" borderId="37" xfId="1" applyFont="1" applyFill="1" applyBorder="1" applyAlignment="1">
      <alignment shrinkToFit="1"/>
    </xf>
    <xf numFmtId="169" fontId="11" fillId="10" borderId="22" xfId="0" applyNumberFormat="1" applyFont="1" applyFill="1" applyBorder="1" applyAlignment="1">
      <alignment horizontal="center" wrapText="1" shrinkToFit="1"/>
    </xf>
    <xf numFmtId="44" fontId="20" fillId="19" borderId="55" xfId="1" applyFont="1" applyFill="1" applyBorder="1" applyAlignment="1">
      <alignment shrinkToFit="1"/>
    </xf>
    <xf numFmtId="44" fontId="20" fillId="19" borderId="2" xfId="1" applyFont="1" applyFill="1" applyBorder="1" applyAlignment="1">
      <alignment shrinkToFit="1"/>
    </xf>
    <xf numFmtId="44" fontId="20" fillId="19" borderId="58" xfId="1" applyFont="1" applyFill="1" applyBorder="1" applyAlignment="1">
      <alignment shrinkToFit="1"/>
    </xf>
    <xf numFmtId="44" fontId="20" fillId="19" borderId="3" xfId="1" applyFont="1" applyFill="1" applyBorder="1" applyAlignment="1">
      <alignment shrinkToFit="1"/>
    </xf>
    <xf numFmtId="44" fontId="20" fillId="19" borderId="60" xfId="1" applyFont="1" applyFill="1" applyBorder="1" applyAlignment="1">
      <alignment shrinkToFit="1"/>
    </xf>
    <xf numFmtId="44" fontId="20" fillId="19" borderId="51" xfId="1" applyFont="1" applyFill="1" applyBorder="1" applyAlignment="1">
      <alignment shrinkToFit="1"/>
    </xf>
    <xf numFmtId="44" fontId="20" fillId="19" borderId="50" xfId="1" applyFont="1" applyFill="1" applyBorder="1" applyAlignment="1">
      <alignment shrinkToFit="1"/>
    </xf>
    <xf numFmtId="169" fontId="28" fillId="10" borderId="55" xfId="0" applyNumberFormat="1" applyFont="1" applyFill="1" applyBorder="1" applyAlignment="1">
      <alignment horizontal="center" wrapText="1" shrinkToFit="1"/>
    </xf>
    <xf numFmtId="169" fontId="28" fillId="10" borderId="2" xfId="0" applyNumberFormat="1" applyFont="1" applyFill="1" applyBorder="1" applyAlignment="1">
      <alignment horizontal="center" wrapText="1" shrinkToFit="1"/>
    </xf>
    <xf numFmtId="44" fontId="20" fillId="19" borderId="61" xfId="1" applyFont="1" applyFill="1" applyBorder="1" applyAlignment="1">
      <alignment shrinkToFit="1"/>
    </xf>
    <xf numFmtId="44" fontId="20" fillId="19" borderId="24" xfId="1" applyFont="1" applyFill="1" applyBorder="1" applyAlignment="1">
      <alignment shrinkToFit="1"/>
    </xf>
    <xf numFmtId="44" fontId="20" fillId="19" borderId="25" xfId="1" applyFont="1" applyFill="1" applyBorder="1" applyAlignment="1">
      <alignment shrinkToFit="1"/>
    </xf>
    <xf numFmtId="44" fontId="20" fillId="19" borderId="28" xfId="1" applyFont="1" applyFill="1" applyBorder="1" applyAlignment="1">
      <alignment shrinkToFit="1"/>
    </xf>
    <xf numFmtId="44" fontId="20" fillId="19" borderId="62" xfId="1" applyFont="1" applyFill="1" applyBorder="1" applyAlignment="1">
      <alignment shrinkToFit="1"/>
    </xf>
    <xf numFmtId="44" fontId="20" fillId="19" borderId="44" xfId="1" applyFont="1" applyFill="1" applyBorder="1" applyAlignment="1">
      <alignment shrinkToFit="1"/>
    </xf>
    <xf numFmtId="44" fontId="20" fillId="19" borderId="45" xfId="1" applyFont="1" applyFill="1" applyBorder="1" applyAlignment="1">
      <alignment shrinkToFit="1"/>
    </xf>
    <xf numFmtId="164" fontId="17" fillId="17" borderId="1" xfId="1" applyNumberFormat="1" applyFont="1" applyFill="1" applyBorder="1"/>
    <xf numFmtId="164" fontId="17" fillId="7" borderId="1" xfId="1" applyNumberFormat="1" applyFont="1" applyFill="1" applyBorder="1"/>
    <xf numFmtId="44" fontId="44" fillId="23" borderId="1" xfId="1" applyFont="1" applyFill="1" applyBorder="1" applyAlignment="1">
      <alignment shrinkToFit="1"/>
    </xf>
    <xf numFmtId="0" fontId="45" fillId="20" borderId="48" xfId="3" applyFont="1" applyFill="1" applyBorder="1"/>
    <xf numFmtId="0" fontId="45" fillId="20" borderId="21" xfId="3" applyFont="1" applyFill="1" applyBorder="1"/>
    <xf numFmtId="0" fontId="55" fillId="20" borderId="19" xfId="3" applyFont="1" applyFill="1" applyBorder="1" applyAlignment="1">
      <alignment horizontal="left" wrapText="1"/>
    </xf>
    <xf numFmtId="0" fontId="64" fillId="20" borderId="48" xfId="0" applyFont="1" applyFill="1" applyBorder="1" applyAlignment="1">
      <alignment shrinkToFit="1"/>
    </xf>
    <xf numFmtId="0" fontId="45" fillId="20" borderId="21" xfId="0" applyFont="1" applyFill="1" applyBorder="1" applyAlignment="1">
      <alignment shrinkToFit="1"/>
    </xf>
    <xf numFmtId="0" fontId="36" fillId="23" borderId="18" xfId="0" applyFont="1" applyFill="1" applyBorder="1" applyAlignment="1">
      <alignment shrinkToFit="1"/>
    </xf>
    <xf numFmtId="44" fontId="20" fillId="23" borderId="37" xfId="1" applyFont="1" applyFill="1" applyBorder="1" applyAlignment="1">
      <alignment shrinkToFit="1"/>
    </xf>
    <xf numFmtId="44" fontId="20" fillId="23" borderId="1" xfId="1" applyFont="1" applyFill="1" applyBorder="1" applyAlignment="1">
      <alignment shrinkToFit="1"/>
    </xf>
    <xf numFmtId="44" fontId="20" fillId="23" borderId="60" xfId="1" applyFont="1" applyFill="1" applyBorder="1" applyAlignment="1">
      <alignment shrinkToFit="1"/>
    </xf>
    <xf numFmtId="44" fontId="20" fillId="23" borderId="51" xfId="1" applyFont="1" applyFill="1" applyBorder="1" applyAlignment="1">
      <alignment shrinkToFit="1"/>
    </xf>
    <xf numFmtId="44" fontId="20" fillId="23" borderId="50" xfId="1" applyFont="1" applyFill="1" applyBorder="1" applyAlignment="1">
      <alignment shrinkToFit="1"/>
    </xf>
    <xf numFmtId="44" fontId="44" fillId="23" borderId="2" xfId="1" applyFont="1" applyFill="1" applyBorder="1" applyAlignment="1">
      <alignment shrinkToFit="1"/>
    </xf>
    <xf numFmtId="44" fontId="44" fillId="23" borderId="3" xfId="1" applyFont="1" applyFill="1" applyBorder="1" applyAlignment="1">
      <alignment shrinkToFit="1"/>
    </xf>
    <xf numFmtId="44" fontId="44" fillId="23" borderId="50" xfId="1" applyFont="1" applyFill="1" applyBorder="1" applyAlignment="1">
      <alignment shrinkToFit="1"/>
    </xf>
    <xf numFmtId="44" fontId="44" fillId="23" borderId="12" xfId="1" applyFont="1" applyFill="1" applyBorder="1" applyAlignment="1">
      <alignment shrinkToFit="1"/>
    </xf>
    <xf numFmtId="44" fontId="44" fillId="23" borderId="13" xfId="1" applyFont="1" applyFill="1" applyBorder="1" applyAlignment="1">
      <alignment shrinkToFit="1"/>
    </xf>
    <xf numFmtId="44" fontId="44" fillId="23" borderId="14" xfId="1" applyFont="1" applyFill="1" applyBorder="1" applyAlignment="1">
      <alignment shrinkToFit="1"/>
    </xf>
    <xf numFmtId="0" fontId="66" fillId="23" borderId="19" xfId="3" applyFont="1" applyFill="1" applyBorder="1" applyAlignment="1">
      <alignment horizontal="left" wrapText="1"/>
    </xf>
    <xf numFmtId="0" fontId="2" fillId="0" borderId="1" xfId="0" applyFont="1" applyBorder="1" applyAlignment="1">
      <alignment shrinkToFit="1"/>
    </xf>
    <xf numFmtId="0" fontId="22" fillId="0" borderId="1" xfId="0" applyFont="1" applyBorder="1" applyAlignment="1">
      <alignment shrinkToFit="1"/>
    </xf>
    <xf numFmtId="44" fontId="49" fillId="0" borderId="50" xfId="1" applyFont="1" applyBorder="1" applyAlignment="1">
      <alignment shrinkToFit="1"/>
    </xf>
    <xf numFmtId="44" fontId="22" fillId="0" borderId="50" xfId="1" applyFont="1" applyBorder="1" applyAlignment="1">
      <alignment shrinkToFit="1"/>
    </xf>
    <xf numFmtId="0" fontId="48" fillId="20" borderId="19" xfId="0" applyFont="1" applyFill="1" applyBorder="1" applyAlignment="1">
      <alignment shrinkToFit="1"/>
    </xf>
    <xf numFmtId="0" fontId="49" fillId="20" borderId="15" xfId="0" applyFont="1" applyFill="1" applyBorder="1" applyAlignment="1">
      <alignment shrinkToFit="1"/>
    </xf>
    <xf numFmtId="0" fontId="2" fillId="20" borderId="15" xfId="0" applyFont="1" applyFill="1" applyBorder="1" applyAlignment="1">
      <alignment shrinkToFit="1"/>
    </xf>
    <xf numFmtId="0" fontId="22" fillId="20" borderId="15" xfId="0" applyFont="1" applyFill="1" applyBorder="1" applyAlignment="1">
      <alignment shrinkToFit="1"/>
    </xf>
    <xf numFmtId="44" fontId="49" fillId="0" borderId="49" xfId="1" applyFont="1" applyBorder="1" applyAlignment="1">
      <alignment shrinkToFit="1"/>
    </xf>
    <xf numFmtId="44" fontId="22" fillId="0" borderId="49" xfId="1" applyFont="1" applyBorder="1" applyAlignment="1">
      <alignment shrinkToFit="1"/>
    </xf>
    <xf numFmtId="0" fontId="51" fillId="0" borderId="0" xfId="0" applyFont="1" applyAlignment="1">
      <alignment shrinkToFit="1"/>
    </xf>
    <xf numFmtId="0" fontId="67" fillId="0" borderId="0" xfId="0" applyFont="1"/>
    <xf numFmtId="0" fontId="51" fillId="10" borderId="49" xfId="0" applyFont="1" applyFill="1" applyBorder="1" applyAlignment="1">
      <alignment shrinkToFit="1"/>
    </xf>
    <xf numFmtId="0" fontId="68" fillId="10" borderId="49" xfId="0" applyFont="1" applyFill="1" applyBorder="1" applyAlignment="1">
      <alignment shrinkToFit="1"/>
    </xf>
    <xf numFmtId="2" fontId="4" fillId="0" borderId="0" xfId="0" applyNumberFormat="1" applyFont="1"/>
    <xf numFmtId="44" fontId="0" fillId="8" borderId="1" xfId="1" applyFont="1" applyFill="1" applyBorder="1" applyAlignment="1">
      <alignment horizontal="center"/>
    </xf>
    <xf numFmtId="0" fontId="53" fillId="20" borderId="17" xfId="3" applyFont="1" applyFill="1" applyBorder="1"/>
    <xf numFmtId="0" fontId="49" fillId="0" borderId="63" xfId="0" applyFont="1" applyBorder="1" applyAlignment="1">
      <alignment shrinkToFit="1"/>
    </xf>
    <xf numFmtId="0" fontId="49" fillId="0" borderId="9" xfId="0" applyFont="1" applyBorder="1" applyAlignment="1">
      <alignment shrinkToFit="1"/>
    </xf>
    <xf numFmtId="0" fontId="2" fillId="0" borderId="63" xfId="0" applyFont="1" applyBorder="1" applyAlignment="1">
      <alignment shrinkToFit="1"/>
    </xf>
    <xf numFmtId="0" fontId="2" fillId="0" borderId="9" xfId="0" applyFont="1" applyBorder="1" applyAlignment="1">
      <alignment shrinkToFit="1"/>
    </xf>
    <xf numFmtId="0" fontId="22" fillId="0" borderId="63" xfId="0" applyFont="1" applyBorder="1" applyAlignment="1">
      <alignment shrinkToFit="1"/>
    </xf>
    <xf numFmtId="0" fontId="22" fillId="0" borderId="9" xfId="0" applyFont="1" applyBorder="1" applyAlignment="1">
      <alignment shrinkToFit="1"/>
    </xf>
    <xf numFmtId="0" fontId="49" fillId="0" borderId="1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" fillId="0" borderId="3" xfId="0" applyFont="1" applyBorder="1" applyAlignment="1">
      <alignment shrinkToFit="1"/>
    </xf>
    <xf numFmtId="0" fontId="22" fillId="0" borderId="3" xfId="0" applyFont="1" applyBorder="1" applyAlignment="1">
      <alignment shrinkToFit="1"/>
    </xf>
    <xf numFmtId="0" fontId="49" fillId="10" borderId="22" xfId="0" applyFont="1" applyFill="1" applyBorder="1" applyAlignment="1">
      <alignment horizontal="center" shrinkToFit="1"/>
    </xf>
    <xf numFmtId="0" fontId="49" fillId="10" borderId="20" xfId="0" applyFont="1" applyFill="1" applyBorder="1" applyAlignment="1">
      <alignment horizontal="center" shrinkToFit="1"/>
    </xf>
    <xf numFmtId="0" fontId="49" fillId="19" borderId="19" xfId="0" applyFont="1" applyFill="1" applyBorder="1" applyAlignment="1">
      <alignment horizontal="center" shrinkToFit="1"/>
    </xf>
    <xf numFmtId="0" fontId="49" fillId="19" borderId="15" xfId="0" applyFont="1" applyFill="1" applyBorder="1" applyAlignment="1">
      <alignment horizontal="center" shrinkToFit="1"/>
    </xf>
    <xf numFmtId="0" fontId="2" fillId="19" borderId="19" xfId="0" applyFont="1" applyFill="1" applyBorder="1" applyAlignment="1">
      <alignment horizontal="center" shrinkToFit="1"/>
    </xf>
    <xf numFmtId="0" fontId="2" fillId="19" borderId="15" xfId="0" applyFont="1" applyFill="1" applyBorder="1" applyAlignment="1">
      <alignment horizontal="center" shrinkToFit="1"/>
    </xf>
    <xf numFmtId="0" fontId="2" fillId="10" borderId="22" xfId="0" applyFont="1" applyFill="1" applyBorder="1" applyAlignment="1">
      <alignment horizontal="center" shrinkToFit="1"/>
    </xf>
    <xf numFmtId="0" fontId="2" fillId="10" borderId="20" xfId="0" applyFont="1" applyFill="1" applyBorder="1" applyAlignment="1">
      <alignment horizontal="center" shrinkToFit="1"/>
    </xf>
    <xf numFmtId="0" fontId="22" fillId="10" borderId="22" xfId="0" applyFont="1" applyFill="1" applyBorder="1" applyAlignment="1">
      <alignment horizontal="center" shrinkToFit="1"/>
    </xf>
    <xf numFmtId="0" fontId="22" fillId="10" borderId="20" xfId="0" applyFont="1" applyFill="1" applyBorder="1" applyAlignment="1">
      <alignment horizontal="center" shrinkToFit="1"/>
    </xf>
    <xf numFmtId="0" fontId="22" fillId="19" borderId="19" xfId="0" applyFont="1" applyFill="1" applyBorder="1" applyAlignment="1">
      <alignment horizontal="center" shrinkToFit="1"/>
    </xf>
    <xf numFmtId="0" fontId="22" fillId="19" borderId="15" xfId="0" applyFont="1" applyFill="1" applyBorder="1" applyAlignment="1">
      <alignment horizontal="center" shrinkToFit="1"/>
    </xf>
    <xf numFmtId="44" fontId="49" fillId="19" borderId="72" xfId="1" applyFont="1" applyFill="1" applyBorder="1" applyAlignment="1">
      <alignment shrinkToFit="1"/>
    </xf>
    <xf numFmtId="44" fontId="49" fillId="19" borderId="30" xfId="1" applyFont="1" applyFill="1" applyBorder="1" applyAlignment="1">
      <alignment shrinkToFit="1"/>
    </xf>
    <xf numFmtId="44" fontId="2" fillId="19" borderId="72" xfId="1" applyFont="1" applyFill="1" applyBorder="1" applyAlignment="1">
      <alignment shrinkToFit="1"/>
    </xf>
    <xf numFmtId="44" fontId="2" fillId="19" borderId="30" xfId="1" applyFont="1" applyFill="1" applyBorder="1" applyAlignment="1">
      <alignment shrinkToFit="1"/>
    </xf>
    <xf numFmtId="44" fontId="22" fillId="19" borderId="72" xfId="1" applyFont="1" applyFill="1" applyBorder="1" applyAlignment="1">
      <alignment shrinkToFit="1"/>
    </xf>
    <xf numFmtId="44" fontId="22" fillId="19" borderId="30" xfId="1" applyFont="1" applyFill="1" applyBorder="1" applyAlignment="1">
      <alignment shrinkToFit="1"/>
    </xf>
    <xf numFmtId="0" fontId="49" fillId="0" borderId="74" xfId="0" applyFont="1" applyBorder="1" applyAlignment="1">
      <alignment shrinkToFit="1"/>
    </xf>
    <xf numFmtId="0" fontId="49" fillId="0" borderId="28" xfId="0" applyFont="1" applyBorder="1" applyAlignment="1">
      <alignment shrinkToFit="1"/>
    </xf>
    <xf numFmtId="0" fontId="49" fillId="0" borderId="14" xfId="0" applyFont="1" applyBorder="1" applyAlignment="1">
      <alignment shrinkToFit="1"/>
    </xf>
    <xf numFmtId="0" fontId="49" fillId="0" borderId="64" xfId="0" applyFont="1" applyBorder="1" applyAlignment="1">
      <alignment shrinkToFit="1"/>
    </xf>
    <xf numFmtId="0" fontId="49" fillId="0" borderId="44" xfId="0" applyFont="1" applyBorder="1" applyAlignment="1">
      <alignment shrinkToFit="1"/>
    </xf>
    <xf numFmtId="0" fontId="49" fillId="0" borderId="45" xfId="0" applyFont="1" applyBorder="1" applyAlignment="1">
      <alignment shrinkToFit="1"/>
    </xf>
    <xf numFmtId="0" fontId="2" fillId="0" borderId="74" xfId="0" applyFont="1" applyBorder="1" applyAlignment="1">
      <alignment shrinkToFit="1"/>
    </xf>
    <xf numFmtId="0" fontId="2" fillId="0" borderId="28" xfId="0" applyFont="1" applyBorder="1" applyAlignment="1">
      <alignment shrinkToFit="1"/>
    </xf>
    <xf numFmtId="0" fontId="2" fillId="0" borderId="14" xfId="0" applyFont="1" applyBorder="1" applyAlignment="1">
      <alignment shrinkToFit="1"/>
    </xf>
    <xf numFmtId="0" fontId="2" fillId="0" borderId="64" xfId="0" applyFont="1" applyBorder="1" applyAlignment="1">
      <alignment shrinkToFit="1"/>
    </xf>
    <xf numFmtId="0" fontId="2" fillId="0" borderId="44" xfId="0" applyFont="1" applyBorder="1" applyAlignment="1">
      <alignment shrinkToFit="1"/>
    </xf>
    <xf numFmtId="0" fontId="2" fillId="0" borderId="45" xfId="0" applyFont="1" applyBorder="1" applyAlignment="1">
      <alignment shrinkToFit="1"/>
    </xf>
    <xf numFmtId="0" fontId="22" fillId="0" borderId="74" xfId="0" applyFont="1" applyBorder="1" applyAlignment="1">
      <alignment shrinkToFit="1"/>
    </xf>
    <xf numFmtId="0" fontId="22" fillId="0" borderId="28" xfId="0" applyFont="1" applyBorder="1" applyAlignment="1">
      <alignment shrinkToFit="1"/>
    </xf>
    <xf numFmtId="0" fontId="22" fillId="0" borderId="14" xfId="0" applyFont="1" applyBorder="1" applyAlignment="1">
      <alignment shrinkToFit="1"/>
    </xf>
    <xf numFmtId="0" fontId="22" fillId="0" borderId="64" xfId="0" applyFont="1" applyBorder="1" applyAlignment="1">
      <alignment shrinkToFit="1"/>
    </xf>
    <xf numFmtId="0" fontId="22" fillId="0" borderId="44" xfId="0" applyFont="1" applyBorder="1" applyAlignment="1">
      <alignment shrinkToFit="1"/>
    </xf>
    <xf numFmtId="0" fontId="22" fillId="0" borderId="45" xfId="0" applyFont="1" applyBorder="1" applyAlignment="1">
      <alignment shrinkToFit="1"/>
    </xf>
    <xf numFmtId="44" fontId="49" fillId="19" borderId="71" xfId="1" applyFont="1" applyFill="1" applyBorder="1" applyAlignment="1">
      <alignment shrinkToFit="1"/>
    </xf>
    <xf numFmtId="44" fontId="49" fillId="19" borderId="26" xfId="1" applyFont="1" applyFill="1" applyBorder="1" applyAlignment="1">
      <alignment shrinkToFit="1"/>
    </xf>
    <xf numFmtId="44" fontId="49" fillId="19" borderId="36" xfId="1" applyFont="1" applyFill="1" applyBorder="1" applyAlignment="1">
      <alignment shrinkToFit="1"/>
    </xf>
    <xf numFmtId="44" fontId="22" fillId="19" borderId="71" xfId="1" applyFont="1" applyFill="1" applyBorder="1" applyAlignment="1">
      <alignment shrinkToFit="1"/>
    </xf>
    <xf numFmtId="44" fontId="22" fillId="19" borderId="26" xfId="1" applyFont="1" applyFill="1" applyBorder="1" applyAlignment="1">
      <alignment shrinkToFit="1"/>
    </xf>
    <xf numFmtId="44" fontId="22" fillId="19" borderId="36" xfId="1" applyFont="1" applyFill="1" applyBorder="1" applyAlignment="1">
      <alignment shrinkToFit="1"/>
    </xf>
    <xf numFmtId="44" fontId="49" fillId="19" borderId="57" xfId="1" applyFont="1" applyFill="1" applyBorder="1" applyAlignment="1">
      <alignment shrinkToFit="1"/>
    </xf>
    <xf numFmtId="44" fontId="49" fillId="19" borderId="70" xfId="1" applyFont="1" applyFill="1" applyBorder="1" applyAlignment="1">
      <alignment shrinkToFit="1"/>
    </xf>
    <xf numFmtId="44" fontId="22" fillId="19" borderId="57" xfId="1" applyFont="1" applyFill="1" applyBorder="1" applyAlignment="1">
      <alignment shrinkToFit="1"/>
    </xf>
    <xf numFmtId="44" fontId="22" fillId="19" borderId="70" xfId="1" applyFont="1" applyFill="1" applyBorder="1" applyAlignment="1">
      <alignment shrinkToFit="1"/>
    </xf>
    <xf numFmtId="44" fontId="49" fillId="19" borderId="34" xfId="1" applyFont="1" applyFill="1" applyBorder="1" applyAlignment="1">
      <alignment shrinkToFit="1"/>
    </xf>
    <xf numFmtId="44" fontId="2" fillId="19" borderId="34" xfId="1" applyFont="1" applyFill="1" applyBorder="1" applyAlignment="1">
      <alignment shrinkToFit="1"/>
    </xf>
    <xf numFmtId="44" fontId="22" fillId="19" borderId="34" xfId="1" applyFont="1" applyFill="1" applyBorder="1" applyAlignment="1">
      <alignment shrinkToFit="1"/>
    </xf>
    <xf numFmtId="44" fontId="49" fillId="19" borderId="49" xfId="1" applyFont="1" applyFill="1" applyBorder="1" applyAlignment="1">
      <alignment shrinkToFit="1"/>
    </xf>
    <xf numFmtId="44" fontId="49" fillId="19" borderId="50" xfId="1" applyFont="1" applyFill="1" applyBorder="1" applyAlignment="1">
      <alignment shrinkToFit="1"/>
    </xf>
    <xf numFmtId="44" fontId="22" fillId="19" borderId="49" xfId="1" applyFont="1" applyFill="1" applyBorder="1" applyAlignment="1">
      <alignment shrinkToFit="1"/>
    </xf>
    <xf numFmtId="44" fontId="22" fillId="19" borderId="50" xfId="1" applyFont="1" applyFill="1" applyBorder="1" applyAlignment="1">
      <alignment shrinkToFit="1"/>
    </xf>
    <xf numFmtId="0" fontId="48" fillId="19" borderId="19" xfId="0" applyFont="1" applyFill="1" applyBorder="1" applyAlignment="1">
      <alignment shrinkToFit="1"/>
    </xf>
    <xf numFmtId="0" fontId="70" fillId="0" borderId="0" xfId="0" applyFont="1" applyAlignment="1">
      <alignment shrinkToFit="1"/>
    </xf>
    <xf numFmtId="9" fontId="16" fillId="0" borderId="0" xfId="4" applyFont="1" applyAlignment="1">
      <alignment horizontal="center"/>
    </xf>
    <xf numFmtId="9" fontId="10" fillId="0" borderId="0" xfId="4" applyFont="1"/>
    <xf numFmtId="9" fontId="19" fillId="0" borderId="0" xfId="4" applyFont="1"/>
    <xf numFmtId="44" fontId="4" fillId="8" borderId="15" xfId="1" applyFont="1" applyFill="1" applyBorder="1"/>
    <xf numFmtId="44" fontId="48" fillId="0" borderId="0" xfId="1" applyFont="1" applyAlignment="1">
      <alignment shrinkToFit="1"/>
    </xf>
    <xf numFmtId="170" fontId="48" fillId="20" borderId="15" xfId="0" applyNumberFormat="1" applyFont="1" applyFill="1" applyBorder="1" applyAlignment="1">
      <alignment horizontal="left" shrinkToFit="1"/>
    </xf>
    <xf numFmtId="0" fontId="33" fillId="20" borderId="14" xfId="3" applyFont="1" applyFill="1" applyBorder="1" applyAlignment="1">
      <alignment horizontal="left"/>
    </xf>
    <xf numFmtId="44" fontId="22" fillId="20" borderId="51" xfId="1" applyFont="1" applyFill="1" applyBorder="1" applyAlignment="1">
      <alignment horizontal="left" indent="1" shrinkToFit="1"/>
    </xf>
    <xf numFmtId="0" fontId="49" fillId="19" borderId="33" xfId="0" applyFont="1" applyFill="1" applyBorder="1" applyAlignment="1">
      <alignment horizontal="center" shrinkToFit="1"/>
    </xf>
    <xf numFmtId="0" fontId="49" fillId="19" borderId="72" xfId="0" applyFont="1" applyFill="1" applyBorder="1" applyAlignment="1">
      <alignment horizontal="center" shrinkToFit="1"/>
    </xf>
    <xf numFmtId="0" fontId="49" fillId="19" borderId="56" xfId="0" applyFont="1" applyFill="1" applyBorder="1" applyAlignment="1">
      <alignment horizontal="center" wrapText="1"/>
    </xf>
    <xf numFmtId="0" fontId="49" fillId="19" borderId="20" xfId="0" applyFont="1" applyFill="1" applyBorder="1" applyAlignment="1">
      <alignment horizontal="center" wrapText="1"/>
    </xf>
    <xf numFmtId="0" fontId="49" fillId="19" borderId="35" xfId="0" applyFont="1" applyFill="1" applyBorder="1" applyAlignment="1">
      <alignment horizontal="center" wrapText="1"/>
    </xf>
    <xf numFmtId="0" fontId="22" fillId="19" borderId="33" xfId="0" applyFont="1" applyFill="1" applyBorder="1" applyAlignment="1">
      <alignment horizontal="center" shrinkToFit="1"/>
    </xf>
    <xf numFmtId="0" fontId="22" fillId="19" borderId="72" xfId="0" applyFont="1" applyFill="1" applyBorder="1" applyAlignment="1">
      <alignment horizontal="center" shrinkToFit="1"/>
    </xf>
    <xf numFmtId="0" fontId="22" fillId="0" borderId="32" xfId="0" applyFont="1" applyBorder="1" applyAlignment="1">
      <alignment horizontal="center" shrinkToFit="1"/>
    </xf>
    <xf numFmtId="0" fontId="22" fillId="0" borderId="0" xfId="0" applyFont="1" applyAlignment="1">
      <alignment horizontal="center" shrinkToFit="1"/>
    </xf>
    <xf numFmtId="0" fontId="22" fillId="19" borderId="56" xfId="0" applyFont="1" applyFill="1" applyBorder="1" applyAlignment="1">
      <alignment horizontal="center" wrapText="1"/>
    </xf>
    <xf numFmtId="0" fontId="22" fillId="19" borderId="20" xfId="0" applyFont="1" applyFill="1" applyBorder="1" applyAlignment="1">
      <alignment horizontal="center" wrapText="1"/>
    </xf>
    <xf numFmtId="0" fontId="22" fillId="19" borderId="35" xfId="0" applyFont="1" applyFill="1" applyBorder="1" applyAlignment="1">
      <alignment horizontal="center" wrapText="1"/>
    </xf>
    <xf numFmtId="0" fontId="2" fillId="19" borderId="33" xfId="0" applyFont="1" applyFill="1" applyBorder="1" applyAlignment="1">
      <alignment horizontal="center" shrinkToFit="1"/>
    </xf>
    <xf numFmtId="0" fontId="2" fillId="19" borderId="72" xfId="0" applyFont="1" applyFill="1" applyBorder="1" applyAlignment="1">
      <alignment horizontal="center" shrinkToFit="1"/>
    </xf>
    <xf numFmtId="0" fontId="2" fillId="19" borderId="56" xfId="0" applyFont="1" applyFill="1" applyBorder="1" applyAlignment="1">
      <alignment horizontal="center" wrapText="1"/>
    </xf>
    <xf numFmtId="0" fontId="2" fillId="19" borderId="20" xfId="0" applyFont="1" applyFill="1" applyBorder="1" applyAlignment="1">
      <alignment horizontal="center" wrapText="1"/>
    </xf>
    <xf numFmtId="0" fontId="2" fillId="19" borderId="35" xfId="0" applyFont="1" applyFill="1" applyBorder="1" applyAlignment="1">
      <alignment horizontal="center" wrapText="1"/>
    </xf>
  </cellXfs>
  <cellStyles count="7">
    <cellStyle name="Comma" xfId="6" builtinId="3"/>
    <cellStyle name="Currency" xfId="1" builtinId="4"/>
    <cellStyle name="Currency 2" xfId="2" xr:uid="{00000000-0005-0000-0000-000002000000}"/>
    <cellStyle name="Normal" xfId="0" builtinId="0"/>
    <cellStyle name="Normal 2" xfId="3" xr:uid="{00000000-0005-0000-0000-000004000000}"/>
    <cellStyle name="Percent" xfId="4" builtinId="5"/>
    <cellStyle name="Percent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8"/>
  <sheetViews>
    <sheetView zoomScale="31" zoomScaleNormal="40" workbookViewId="0">
      <selection activeCell="M9" sqref="M9"/>
    </sheetView>
  </sheetViews>
  <sheetFormatPr defaultColWidth="55.5703125" defaultRowHeight="42" customHeight="1"/>
  <cols>
    <col min="1" max="1" width="114.42578125" style="235" bestFit="1" customWidth="1"/>
    <col min="2" max="2" width="50.42578125" style="235" bestFit="1" customWidth="1"/>
    <col min="3" max="3" width="84.42578125" style="235" bestFit="1" customWidth="1"/>
    <col min="4" max="4" width="77.5703125" style="235" bestFit="1" customWidth="1"/>
    <col min="5" max="5" width="61.42578125" style="235" bestFit="1" customWidth="1"/>
    <col min="6" max="6" width="72.42578125" style="235" bestFit="1" customWidth="1"/>
    <col min="7" max="7" width="66" style="235" bestFit="1" customWidth="1"/>
    <col min="8" max="8" width="72" style="235" bestFit="1" customWidth="1"/>
    <col min="9" max="9" width="38.42578125" style="235" bestFit="1" customWidth="1"/>
    <col min="10" max="16384" width="55.5703125" style="235"/>
  </cols>
  <sheetData>
    <row r="1" spans="1:9" ht="72" customHeight="1" thickBot="1">
      <c r="A1" s="296" t="s">
        <v>173</v>
      </c>
      <c r="B1" s="233"/>
      <c r="C1" s="233"/>
      <c r="D1" s="234"/>
      <c r="E1" s="233"/>
      <c r="G1" s="430" t="s">
        <v>160</v>
      </c>
    </row>
    <row r="2" spans="1:9" ht="42" customHeight="1" thickBot="1">
      <c r="A2" s="740">
        <v>45870</v>
      </c>
      <c r="B2" s="318" t="s">
        <v>146</v>
      </c>
      <c r="C2" s="311" t="s">
        <v>154</v>
      </c>
      <c r="D2" s="343" t="s">
        <v>147</v>
      </c>
      <c r="E2" s="316" t="s">
        <v>148</v>
      </c>
      <c r="F2" s="286" t="s">
        <v>152</v>
      </c>
      <c r="G2" s="391" t="s">
        <v>159</v>
      </c>
      <c r="H2" s="362" t="s">
        <v>149</v>
      </c>
      <c r="I2" s="362" t="s">
        <v>150</v>
      </c>
    </row>
    <row r="3" spans="1:9" ht="42" customHeight="1">
      <c r="A3" s="299" t="s">
        <v>79</v>
      </c>
      <c r="B3" s="319">
        <v>76.3</v>
      </c>
      <c r="C3" s="267">
        <v>560.05999999999995</v>
      </c>
      <c r="D3" s="344">
        <v>76.3</v>
      </c>
      <c r="E3" s="421">
        <v>560.05999999999995</v>
      </c>
      <c r="F3" s="393">
        <f>D3-B3</f>
        <v>0</v>
      </c>
      <c r="G3" s="414">
        <f>E3-C3</f>
        <v>0</v>
      </c>
      <c r="H3" s="383"/>
      <c r="I3" s="501">
        <v>46.33</v>
      </c>
    </row>
    <row r="4" spans="1:9" ht="42" customHeight="1">
      <c r="A4" s="300" t="s">
        <v>80</v>
      </c>
      <c r="B4" s="320"/>
      <c r="C4" s="236"/>
      <c r="D4" s="345"/>
      <c r="E4" s="421">
        <f t="shared" ref="E4:E12" si="0">SUM(E32+F32)</f>
        <v>0</v>
      </c>
      <c r="F4" s="394">
        <f t="shared" ref="F4:F19" si="1">D4-B4</f>
        <v>0</v>
      </c>
      <c r="G4" s="415">
        <f t="shared" ref="G4:G16" si="2">E4-C4</f>
        <v>0</v>
      </c>
      <c r="H4" s="384"/>
      <c r="I4" s="502"/>
    </row>
    <row r="5" spans="1:9" ht="42" customHeight="1">
      <c r="A5" s="300" t="s">
        <v>81</v>
      </c>
      <c r="B5" s="320">
        <v>110.9</v>
      </c>
      <c r="C5" s="236">
        <v>2266.92</v>
      </c>
      <c r="D5" s="345">
        <v>110.9</v>
      </c>
      <c r="E5" s="421">
        <v>2266.92</v>
      </c>
      <c r="F5" s="394">
        <f t="shared" si="1"/>
        <v>0</v>
      </c>
      <c r="G5" s="415">
        <f t="shared" si="2"/>
        <v>0</v>
      </c>
      <c r="H5" s="384"/>
      <c r="I5" s="502">
        <v>168.7</v>
      </c>
    </row>
    <row r="6" spans="1:9" ht="42" customHeight="1">
      <c r="A6" s="300" t="s">
        <v>78</v>
      </c>
      <c r="B6" s="320">
        <v>164.1</v>
      </c>
      <c r="C6" s="236">
        <v>913.74</v>
      </c>
      <c r="D6" s="345">
        <v>164.1</v>
      </c>
      <c r="E6" s="421">
        <v>913.74</v>
      </c>
      <c r="F6" s="394">
        <f t="shared" si="1"/>
        <v>0</v>
      </c>
      <c r="G6" s="415">
        <f t="shared" si="2"/>
        <v>0</v>
      </c>
      <c r="H6" s="384"/>
      <c r="I6" s="502">
        <v>83.03</v>
      </c>
    </row>
    <row r="7" spans="1:9" ht="42" customHeight="1" thickBot="1">
      <c r="A7" s="329" t="s">
        <v>143</v>
      </c>
      <c r="B7" s="321">
        <v>125</v>
      </c>
      <c r="C7" s="268">
        <v>776.83</v>
      </c>
      <c r="D7" s="346">
        <v>125</v>
      </c>
      <c r="E7" s="421">
        <v>776.83</v>
      </c>
      <c r="F7" s="399">
        <f t="shared" si="1"/>
        <v>0</v>
      </c>
      <c r="G7" s="416">
        <f t="shared" si="2"/>
        <v>0</v>
      </c>
      <c r="H7" s="385"/>
      <c r="I7" s="503">
        <v>62.68</v>
      </c>
    </row>
    <row r="8" spans="1:9" ht="42" customHeight="1">
      <c r="A8" s="330" t="s">
        <v>82</v>
      </c>
      <c r="B8" s="322">
        <v>175.2</v>
      </c>
      <c r="C8" s="238">
        <v>1715.25</v>
      </c>
      <c r="D8" s="347">
        <v>165.1</v>
      </c>
      <c r="E8" s="421">
        <v>1715.25</v>
      </c>
      <c r="F8" s="393">
        <f t="shared" si="1"/>
        <v>-10.099999999999994</v>
      </c>
      <c r="G8" s="414">
        <f t="shared" si="2"/>
        <v>0</v>
      </c>
      <c r="H8" s="386"/>
      <c r="I8" s="504">
        <v>201.1</v>
      </c>
    </row>
    <row r="9" spans="1:9" ht="42" customHeight="1">
      <c r="A9" s="279" t="s">
        <v>83</v>
      </c>
      <c r="B9" s="320">
        <v>658.2</v>
      </c>
      <c r="C9" s="236">
        <v>3192.36</v>
      </c>
      <c r="D9" s="345">
        <f>678.7</f>
        <v>678.7</v>
      </c>
      <c r="E9" s="421">
        <v>3192.36</v>
      </c>
      <c r="F9" s="394">
        <f>D9-B9+B40</f>
        <v>20.5</v>
      </c>
      <c r="G9" s="415">
        <f t="shared" si="2"/>
        <v>0</v>
      </c>
      <c r="H9" s="384"/>
      <c r="I9" s="502">
        <v>231.47</v>
      </c>
    </row>
    <row r="10" spans="1:9" ht="42" customHeight="1">
      <c r="A10" s="279" t="s">
        <v>84</v>
      </c>
      <c r="B10" s="320"/>
      <c r="C10" s="236"/>
      <c r="D10" s="345"/>
      <c r="E10" s="421">
        <f t="shared" si="0"/>
        <v>0</v>
      </c>
      <c r="F10" s="394">
        <f t="shared" si="1"/>
        <v>0</v>
      </c>
      <c r="G10" s="415">
        <f t="shared" si="2"/>
        <v>0</v>
      </c>
      <c r="H10" s="384"/>
      <c r="I10" s="502"/>
    </row>
    <row r="11" spans="1:9" ht="42" customHeight="1">
      <c r="A11" s="279" t="s">
        <v>106</v>
      </c>
      <c r="B11" s="320">
        <v>338.2</v>
      </c>
      <c r="C11" s="236">
        <v>1712.6</v>
      </c>
      <c r="D11" s="345">
        <v>334.25</v>
      </c>
      <c r="E11" s="421">
        <v>1712.6</v>
      </c>
      <c r="F11" s="394">
        <f t="shared" si="1"/>
        <v>-3.9499999999999886</v>
      </c>
      <c r="G11" s="415">
        <f t="shared" si="2"/>
        <v>0</v>
      </c>
      <c r="H11" s="384"/>
      <c r="I11" s="502">
        <v>139.25</v>
      </c>
    </row>
    <row r="12" spans="1:9" ht="42" customHeight="1">
      <c r="A12" s="279" t="s">
        <v>85</v>
      </c>
      <c r="B12" s="320"/>
      <c r="C12" s="236"/>
      <c r="D12" s="345"/>
      <c r="E12" s="421">
        <f t="shared" si="0"/>
        <v>0</v>
      </c>
      <c r="F12" s="394">
        <f t="shared" si="1"/>
        <v>0</v>
      </c>
      <c r="G12" s="415">
        <f t="shared" si="2"/>
        <v>0</v>
      </c>
      <c r="H12" s="384"/>
      <c r="I12" s="502"/>
    </row>
    <row r="13" spans="1:9" ht="42" customHeight="1">
      <c r="A13" s="279" t="s">
        <v>86</v>
      </c>
      <c r="B13" s="320">
        <v>139.69999999999999</v>
      </c>
      <c r="C13" s="236">
        <v>734.44</v>
      </c>
      <c r="D13" s="345">
        <v>141.4</v>
      </c>
      <c r="E13" s="421">
        <v>734.44</v>
      </c>
      <c r="F13" s="394">
        <f t="shared" si="1"/>
        <v>1.7000000000000171</v>
      </c>
      <c r="G13" s="415">
        <f t="shared" si="2"/>
        <v>0</v>
      </c>
      <c r="H13" s="384"/>
      <c r="I13" s="502">
        <v>71.03</v>
      </c>
    </row>
    <row r="14" spans="1:9" ht="42" customHeight="1">
      <c r="A14" s="279" t="s">
        <v>87</v>
      </c>
      <c r="B14" s="320">
        <v>267.89999999999998</v>
      </c>
      <c r="C14" s="236">
        <v>1185.02</v>
      </c>
      <c r="D14" s="345">
        <v>277</v>
      </c>
      <c r="E14" s="421">
        <v>1185.02</v>
      </c>
      <c r="F14" s="394">
        <f t="shared" si="1"/>
        <v>9.1000000000000227</v>
      </c>
      <c r="G14" s="415">
        <f t="shared" si="2"/>
        <v>0</v>
      </c>
      <c r="H14" s="384"/>
      <c r="I14" s="502">
        <v>125.85</v>
      </c>
    </row>
    <row r="15" spans="1:9" ht="42" customHeight="1">
      <c r="A15" s="279" t="s">
        <v>88</v>
      </c>
      <c r="B15" s="320">
        <v>67.8</v>
      </c>
      <c r="C15" s="236">
        <v>829.07</v>
      </c>
      <c r="D15" s="345">
        <v>67.8</v>
      </c>
      <c r="E15" s="421">
        <v>829.07</v>
      </c>
      <c r="F15" s="394">
        <f t="shared" si="1"/>
        <v>0</v>
      </c>
      <c r="G15" s="415">
        <f t="shared" si="2"/>
        <v>0</v>
      </c>
      <c r="H15" s="384"/>
      <c r="I15" s="502">
        <v>73.27</v>
      </c>
    </row>
    <row r="16" spans="1:9" ht="42" customHeight="1">
      <c r="A16" s="279" t="s">
        <v>107</v>
      </c>
      <c r="B16" s="320">
        <v>1106.5</v>
      </c>
      <c r="C16" s="236">
        <v>5400.95</v>
      </c>
      <c r="D16" s="345">
        <v>1106.5</v>
      </c>
      <c r="E16" s="421">
        <v>5400.95</v>
      </c>
      <c r="F16" s="394">
        <f t="shared" si="1"/>
        <v>0</v>
      </c>
      <c r="G16" s="415">
        <f t="shared" si="2"/>
        <v>0</v>
      </c>
      <c r="H16" s="384"/>
      <c r="I16" s="502">
        <v>498.37</v>
      </c>
    </row>
    <row r="17" spans="1:9" ht="42" customHeight="1" thickBot="1">
      <c r="A17" s="404" t="s">
        <v>89</v>
      </c>
      <c r="B17" s="337">
        <v>212.9</v>
      </c>
      <c r="C17" s="338">
        <v>484.24</v>
      </c>
      <c r="D17" s="348">
        <v>213.9</v>
      </c>
      <c r="E17" s="421">
        <v>484.24</v>
      </c>
      <c r="F17" s="395">
        <f t="shared" si="1"/>
        <v>1</v>
      </c>
      <c r="G17" s="416">
        <f>E17-C17</f>
        <v>0</v>
      </c>
      <c r="H17" s="405"/>
      <c r="I17" s="505">
        <v>1.73</v>
      </c>
    </row>
    <row r="18" spans="1:9" ht="42" customHeight="1" thickBot="1">
      <c r="A18" s="280" t="s">
        <v>151</v>
      </c>
      <c r="B18" s="412">
        <f>SUM(B8:B17)</f>
        <v>2966.4</v>
      </c>
      <c r="C18" s="412">
        <f t="shared" ref="C18:H18" si="3">SUM(C8:C17)</f>
        <v>15253.930000000002</v>
      </c>
      <c r="D18" s="412">
        <f t="shared" si="3"/>
        <v>2984.65</v>
      </c>
      <c r="E18" s="412">
        <f t="shared" si="3"/>
        <v>15253.930000000002</v>
      </c>
      <c r="F18" s="412">
        <f t="shared" si="3"/>
        <v>18.250000000000057</v>
      </c>
      <c r="G18" s="412">
        <f t="shared" si="3"/>
        <v>0</v>
      </c>
      <c r="H18" s="412">
        <f t="shared" si="3"/>
        <v>0</v>
      </c>
      <c r="I18" s="412">
        <f>SUM(I8:I17)</f>
        <v>1342.07</v>
      </c>
    </row>
    <row r="19" spans="1:9" ht="42" customHeight="1" thickBot="1">
      <c r="A19" s="408" t="s">
        <v>155</v>
      </c>
      <c r="B19" s="722">
        <f>SUM(D104)</f>
        <v>0</v>
      </c>
      <c r="C19" s="723">
        <f>F104+E104</f>
        <v>0</v>
      </c>
      <c r="D19" s="409"/>
      <c r="E19" s="716">
        <f>SUM(E46+F46-E47-F47)</f>
        <v>0</v>
      </c>
      <c r="F19" s="717">
        <f t="shared" si="1"/>
        <v>0</v>
      </c>
      <c r="G19" s="693">
        <f>E19-C19</f>
        <v>0</v>
      </c>
      <c r="H19" s="718">
        <f>SUM(C118)</f>
        <v>0</v>
      </c>
      <c r="I19" s="726">
        <f>(D19+E19+H19)*0.95/11</f>
        <v>0</v>
      </c>
    </row>
    <row r="20" spans="1:9" ht="42" customHeight="1">
      <c r="A20" s="281" t="s">
        <v>134</v>
      </c>
      <c r="B20" s="341"/>
      <c r="C20" s="267"/>
      <c r="D20" s="349"/>
      <c r="E20" s="373"/>
      <c r="F20" s="369"/>
      <c r="G20" s="378"/>
      <c r="H20" s="501"/>
      <c r="I20" s="501"/>
    </row>
    <row r="21" spans="1:9" ht="42" customHeight="1">
      <c r="A21" s="331" t="s">
        <v>135</v>
      </c>
      <c r="B21" s="323"/>
      <c r="C21" s="236"/>
      <c r="D21" s="350"/>
      <c r="E21" s="374"/>
      <c r="F21" s="370"/>
      <c r="G21" s="379"/>
      <c r="H21" s="502"/>
      <c r="I21" s="502"/>
    </row>
    <row r="22" spans="1:9" ht="42" customHeight="1" thickBot="1">
      <c r="A22" s="282" t="s">
        <v>187</v>
      </c>
      <c r="B22" s="321"/>
      <c r="C22" s="268"/>
      <c r="D22" s="346"/>
      <c r="E22" s="360"/>
      <c r="F22" s="292"/>
      <c r="G22" s="377"/>
      <c r="H22" s="503"/>
      <c r="I22" s="503"/>
    </row>
    <row r="23" spans="1:9" ht="42" customHeight="1" thickBot="1">
      <c r="A23" s="335" t="s">
        <v>0</v>
      </c>
      <c r="B23" s="289">
        <f>SUM(B3+B4+B5+B6+B7+B18+B19+B22)</f>
        <v>3442.7</v>
      </c>
      <c r="C23" s="293">
        <f>SUM(C3+C4+C5+C6+C7+C18+C19+C20+C21+C22)</f>
        <v>19771.480000000003</v>
      </c>
      <c r="D23" s="293">
        <f>SUM(D3+D4+D5+D6+D7+D18+D19+D20+D21+D22)-C40</f>
        <v>-9.9999999997635314E-3</v>
      </c>
      <c r="E23" s="293">
        <f>SUM(E3+E4+E5+E6+E7+E18+E19+E20+E21+E22)</f>
        <v>19771.480000000003</v>
      </c>
      <c r="F23" s="293">
        <f>SUM(F3+F4+F5+F6+F7+F18+F19+F20+F21+F22)</f>
        <v>18.250000000000057</v>
      </c>
      <c r="G23" s="293">
        <f>SUM(G3+G4+G5+G6+G7+G18+G19+G20+G21+G22)</f>
        <v>0</v>
      </c>
      <c r="H23" s="293">
        <f t="shared" ref="H23" si="4">SUM(H3+H4+H5+H6+H7+H18+H19+H20+H21+H22)</f>
        <v>0</v>
      </c>
      <c r="I23" s="293">
        <f>SUM(I3+I4+I5+I6+I7+I18+I19+I20+I21+I22)</f>
        <v>1702.81</v>
      </c>
    </row>
    <row r="24" spans="1:9" ht="42" customHeight="1" thickBot="1">
      <c r="A24" s="235" t="s">
        <v>180</v>
      </c>
      <c r="B24" s="739"/>
      <c r="E24" s="295"/>
    </row>
    <row r="25" spans="1:9" ht="42" customHeight="1" thickBot="1">
      <c r="A25" s="475" t="s">
        <v>171</v>
      </c>
      <c r="B25" s="477" t="s">
        <v>153</v>
      </c>
      <c r="C25" s="477" t="s">
        <v>185</v>
      </c>
      <c r="E25" s="241" t="s">
        <v>175</v>
      </c>
      <c r="G25" s="452" t="s">
        <v>167</v>
      </c>
      <c r="H25" s="516"/>
    </row>
    <row r="26" spans="1:9" ht="42" customHeight="1" thickBot="1">
      <c r="A26" s="466" t="s">
        <v>191</v>
      </c>
      <c r="B26" s="462"/>
      <c r="C26" s="462">
        <v>1850.06</v>
      </c>
      <c r="E26" s="434" t="s">
        <v>166</v>
      </c>
      <c r="F26" s="443"/>
      <c r="G26" s="449" t="s">
        <v>161</v>
      </c>
      <c r="H26" s="446"/>
    </row>
    <row r="27" spans="1:9" ht="42" customHeight="1" thickBot="1">
      <c r="A27" s="466" t="s">
        <v>192</v>
      </c>
      <c r="B27" s="463"/>
      <c r="C27" s="462">
        <v>1539.1</v>
      </c>
      <c r="E27" s="435" t="s">
        <v>164</v>
      </c>
      <c r="F27" s="401"/>
      <c r="G27" s="436" t="s">
        <v>162</v>
      </c>
      <c r="H27" s="431" t="s">
        <v>163</v>
      </c>
    </row>
    <row r="28" spans="1:9" ht="42" customHeight="1" thickBot="1">
      <c r="A28" s="466" t="s">
        <v>193</v>
      </c>
      <c r="B28" s="463"/>
      <c r="C28" s="462">
        <f>24.2+12</f>
        <v>36.200000000000003</v>
      </c>
      <c r="H28" s="528" t="s">
        <v>174</v>
      </c>
      <c r="I28" s="401"/>
    </row>
    <row r="29" spans="1:9" ht="42" customHeight="1" thickBot="1">
      <c r="A29" s="466" t="s">
        <v>203</v>
      </c>
      <c r="B29" s="463"/>
      <c r="C29" s="462">
        <v>35.6</v>
      </c>
      <c r="H29" s="458" t="s">
        <v>168</v>
      </c>
      <c r="I29" s="459">
        <f>SUM(B23+C23+G23+F23+H23-I23)</f>
        <v>21529.620000000003</v>
      </c>
    </row>
    <row r="30" spans="1:9" ht="42" customHeight="1" thickBot="1">
      <c r="A30" s="466" t="s">
        <v>95</v>
      </c>
      <c r="B30" s="463"/>
      <c r="C30" s="462"/>
      <c r="D30" s="665" t="s">
        <v>170</v>
      </c>
      <c r="E30" s="301" t="s">
        <v>141</v>
      </c>
      <c r="F30" s="302" t="s">
        <v>142</v>
      </c>
      <c r="H30" s="454" t="s">
        <v>169</v>
      </c>
      <c r="I30" s="455">
        <f>SUM(I28+D23-H25+D90)</f>
        <v>-9.9999999997635314E-3</v>
      </c>
    </row>
    <row r="31" spans="1:9" ht="42" customHeight="1">
      <c r="A31" s="466" t="s">
        <v>96</v>
      </c>
      <c r="B31" s="463"/>
      <c r="C31" s="462"/>
      <c r="D31" s="305" t="s">
        <v>79</v>
      </c>
      <c r="E31" s="521"/>
      <c r="F31" s="273"/>
      <c r="G31" s="240"/>
    </row>
    <row r="32" spans="1:9" ht="42" customHeight="1">
      <c r="A32" s="466" t="s">
        <v>97</v>
      </c>
      <c r="B32" s="463"/>
      <c r="C32" s="462"/>
      <c r="D32" s="306" t="s">
        <v>80</v>
      </c>
      <c r="E32" s="522"/>
      <c r="F32" s="274"/>
      <c r="G32" s="240"/>
    </row>
    <row r="33" spans="1:7" ht="42" customHeight="1">
      <c r="A33" s="466" t="s">
        <v>98</v>
      </c>
      <c r="B33" s="463"/>
      <c r="C33" s="462"/>
      <c r="D33" s="306" t="s">
        <v>81</v>
      </c>
      <c r="E33" s="522"/>
      <c r="F33" s="274"/>
      <c r="G33" s="240"/>
    </row>
    <row r="34" spans="1:7" ht="42" customHeight="1">
      <c r="A34" s="466" t="s">
        <v>99</v>
      </c>
      <c r="B34" s="463"/>
      <c r="C34" s="462"/>
      <c r="D34" s="306" t="s">
        <v>78</v>
      </c>
      <c r="E34" s="522"/>
      <c r="F34" s="274"/>
      <c r="G34" s="240"/>
    </row>
    <row r="35" spans="1:7" ht="42" customHeight="1" thickBot="1">
      <c r="A35" s="466" t="s">
        <v>100</v>
      </c>
      <c r="B35" s="463"/>
      <c r="C35" s="462"/>
      <c r="D35" s="413" t="s">
        <v>143</v>
      </c>
      <c r="E35" s="523"/>
      <c r="F35" s="275"/>
      <c r="G35" s="240"/>
    </row>
    <row r="36" spans="1:7" ht="42" customHeight="1">
      <c r="A36" s="466" t="s">
        <v>101</v>
      </c>
      <c r="B36" s="463"/>
      <c r="C36" s="462"/>
      <c r="D36" s="305" t="s">
        <v>82</v>
      </c>
      <c r="E36" s="521"/>
      <c r="F36" s="273"/>
      <c r="G36" s="240"/>
    </row>
    <row r="37" spans="1:7" ht="42" customHeight="1">
      <c r="A37" s="466" t="s">
        <v>102</v>
      </c>
      <c r="B37" s="463"/>
      <c r="C37" s="462"/>
      <c r="D37" s="306" t="s">
        <v>83</v>
      </c>
      <c r="E37" s="522"/>
      <c r="F37" s="274"/>
      <c r="G37" s="240"/>
    </row>
    <row r="38" spans="1:7" ht="42" customHeight="1">
      <c r="A38" s="466" t="s">
        <v>103</v>
      </c>
      <c r="B38" s="463"/>
      <c r="C38" s="462"/>
      <c r="D38" s="306" t="s">
        <v>84</v>
      </c>
      <c r="E38" s="522"/>
      <c r="F38" s="274"/>
      <c r="G38" s="240"/>
    </row>
    <row r="39" spans="1:7" ht="42" customHeight="1" thickBot="1">
      <c r="A39" s="469" t="s">
        <v>104</v>
      </c>
      <c r="B39" s="470"/>
      <c r="C39" s="462"/>
      <c r="D39" s="306" t="s">
        <v>106</v>
      </c>
      <c r="E39" s="522"/>
      <c r="F39" s="274"/>
      <c r="G39" s="240"/>
    </row>
    <row r="40" spans="1:7" ht="42" customHeight="1" thickBot="1">
      <c r="A40" s="473" t="s">
        <v>144</v>
      </c>
      <c r="B40" s="519">
        <f>SUM(B26:B39)</f>
        <v>0</v>
      </c>
      <c r="C40" s="519">
        <f>SUM(C26:C39)</f>
        <v>3460.9599999999996</v>
      </c>
      <c r="D40" s="306" t="s">
        <v>85</v>
      </c>
      <c r="E40" s="522"/>
      <c r="F40" s="274"/>
      <c r="G40" s="240"/>
    </row>
    <row r="41" spans="1:7" ht="42" customHeight="1">
      <c r="D41" s="306" t="s">
        <v>86</v>
      </c>
      <c r="E41" s="522"/>
      <c r="F41" s="274"/>
      <c r="G41" s="240"/>
    </row>
    <row r="42" spans="1:7" ht="42" customHeight="1">
      <c r="D42" s="306" t="s">
        <v>87</v>
      </c>
      <c r="E42" s="522"/>
      <c r="F42" s="274"/>
      <c r="G42" s="240"/>
    </row>
    <row r="43" spans="1:7" ht="42" customHeight="1">
      <c r="D43" s="306" t="s">
        <v>88</v>
      </c>
      <c r="E43" s="522"/>
      <c r="F43" s="274"/>
      <c r="G43" s="240"/>
    </row>
    <row r="44" spans="1:7" ht="42" customHeight="1">
      <c r="D44" s="306" t="s">
        <v>107</v>
      </c>
      <c r="E44" s="522"/>
      <c r="F44" s="274"/>
      <c r="G44" s="240"/>
    </row>
    <row r="45" spans="1:7" ht="42" customHeight="1" thickBot="1">
      <c r="D45" s="307" t="s">
        <v>89</v>
      </c>
      <c r="E45" s="523"/>
      <c r="F45" s="275"/>
      <c r="G45" s="240"/>
    </row>
    <row r="46" spans="1:7" ht="42" customHeight="1" thickBot="1">
      <c r="C46" s="663"/>
      <c r="D46" s="657" t="s">
        <v>184</v>
      </c>
      <c r="E46" s="661"/>
      <c r="F46" s="655"/>
      <c r="G46" s="240"/>
    </row>
    <row r="47" spans="1:7" ht="39.75" customHeight="1" thickBot="1">
      <c r="C47" s="663"/>
      <c r="D47" s="733" t="s">
        <v>183</v>
      </c>
      <c r="E47" s="729">
        <f>SUM(E90)</f>
        <v>0</v>
      </c>
      <c r="F47" s="730">
        <f>F90</f>
        <v>0</v>
      </c>
      <c r="G47" s="240"/>
    </row>
    <row r="48" spans="1:7" ht="42" customHeight="1" thickBot="1">
      <c r="A48" s="479" t="s">
        <v>145</v>
      </c>
      <c r="B48" s="480" t="s">
        <v>126</v>
      </c>
      <c r="C48" s="480" t="s">
        <v>127</v>
      </c>
      <c r="D48" s="480" t="s">
        <v>128</v>
      </c>
      <c r="E48" s="480" t="s">
        <v>129</v>
      </c>
      <c r="F48" s="481" t="s">
        <v>105</v>
      </c>
    </row>
    <row r="49" spans="1:7" ht="42" customHeight="1">
      <c r="A49" s="485" t="s">
        <v>2</v>
      </c>
      <c r="B49" s="253"/>
      <c r="C49" s="242"/>
      <c r="D49" s="242"/>
      <c r="E49" s="242"/>
      <c r="F49" s="254">
        <f>SUM(B49:E49)</f>
        <v>0</v>
      </c>
      <c r="G49" s="239"/>
    </row>
    <row r="50" spans="1:7" ht="42" customHeight="1">
      <c r="A50" s="486" t="s">
        <v>3</v>
      </c>
      <c r="B50" s="244"/>
      <c r="C50" s="243"/>
      <c r="D50" s="243"/>
      <c r="E50" s="243"/>
      <c r="F50" s="245">
        <f t="shared" ref="F50:F60" si="5">SUM(B50:E50)</f>
        <v>0</v>
      </c>
      <c r="G50" s="239"/>
    </row>
    <row r="51" spans="1:7" ht="42" customHeight="1">
      <c r="A51" s="486" t="s">
        <v>4</v>
      </c>
      <c r="B51" s="244"/>
      <c r="C51" s="243"/>
      <c r="D51" s="243"/>
      <c r="E51" s="243"/>
      <c r="F51" s="245">
        <f t="shared" si="5"/>
        <v>0</v>
      </c>
      <c r="G51" s="239"/>
    </row>
    <row r="52" spans="1:7" ht="42" customHeight="1">
      <c r="A52" s="486" t="s">
        <v>5</v>
      </c>
      <c r="B52" s="244"/>
      <c r="C52" s="243"/>
      <c r="D52" s="243"/>
      <c r="E52" s="243"/>
      <c r="F52" s="245">
        <f t="shared" si="5"/>
        <v>0</v>
      </c>
      <c r="G52" s="239"/>
    </row>
    <row r="53" spans="1:7" ht="42" customHeight="1">
      <c r="A53" s="486" t="s">
        <v>115</v>
      </c>
      <c r="B53" s="244"/>
      <c r="C53" s="243"/>
      <c r="D53" s="243"/>
      <c r="E53" s="243"/>
      <c r="F53" s="245">
        <f t="shared" si="5"/>
        <v>0</v>
      </c>
      <c r="G53" s="239"/>
    </row>
    <row r="54" spans="1:7" ht="42" customHeight="1">
      <c r="A54" s="486" t="s">
        <v>6</v>
      </c>
      <c r="B54" s="244"/>
      <c r="C54" s="243"/>
      <c r="D54" s="243"/>
      <c r="E54" s="243"/>
      <c r="F54" s="245">
        <f t="shared" si="5"/>
        <v>0</v>
      </c>
      <c r="G54" s="239"/>
    </row>
    <row r="55" spans="1:7" ht="42" customHeight="1" thickBot="1">
      <c r="A55" s="246" t="s">
        <v>16</v>
      </c>
      <c r="B55" s="247">
        <f>SUM(B49:B54)</f>
        <v>0</v>
      </c>
      <c r="C55" s="247">
        <f>SUM(C49:C54)</f>
        <v>0</v>
      </c>
      <c r="D55" s="247">
        <f>SUM(D49:D54)</f>
        <v>0</v>
      </c>
      <c r="E55" s="247">
        <f>SUM(E49:E54)</f>
        <v>0</v>
      </c>
      <c r="F55" s="248">
        <f t="shared" si="5"/>
        <v>0</v>
      </c>
      <c r="G55" s="239"/>
    </row>
    <row r="56" spans="1:7" ht="42" customHeight="1" thickBot="1">
      <c r="A56" s="249" t="s">
        <v>29</v>
      </c>
      <c r="B56" s="250"/>
      <c r="C56" s="251"/>
      <c r="D56" s="251"/>
      <c r="E56" s="251"/>
      <c r="F56" s="252"/>
      <c r="G56" s="239"/>
    </row>
    <row r="57" spans="1:7" ht="42" customHeight="1">
      <c r="A57" s="485" t="s">
        <v>7</v>
      </c>
      <c r="B57" s="253"/>
      <c r="C57" s="242"/>
      <c r="D57" s="242"/>
      <c r="E57" s="242"/>
      <c r="F57" s="254">
        <f t="shared" si="5"/>
        <v>0</v>
      </c>
      <c r="G57" s="239"/>
    </row>
    <row r="58" spans="1:7" ht="42" customHeight="1">
      <c r="A58" s="486" t="s">
        <v>8</v>
      </c>
      <c r="B58" s="244"/>
      <c r="C58" s="243"/>
      <c r="D58" s="243"/>
      <c r="E58" s="243"/>
      <c r="F58" s="245">
        <f t="shared" si="5"/>
        <v>0</v>
      </c>
      <c r="G58" s="239"/>
    </row>
    <row r="59" spans="1:7" ht="42" customHeight="1">
      <c r="A59" s="486" t="s">
        <v>9</v>
      </c>
      <c r="B59" s="244"/>
      <c r="C59" s="243"/>
      <c r="D59" s="243"/>
      <c r="E59" s="243"/>
      <c r="F59" s="245">
        <f t="shared" si="5"/>
        <v>0</v>
      </c>
      <c r="G59" s="239"/>
    </row>
    <row r="60" spans="1:7" ht="42" customHeight="1">
      <c r="A60" s="486" t="s">
        <v>10</v>
      </c>
      <c r="B60" s="244"/>
      <c r="C60" s="243"/>
      <c r="D60" s="243"/>
      <c r="E60" s="243"/>
      <c r="F60" s="245">
        <f t="shared" si="5"/>
        <v>0</v>
      </c>
      <c r="G60" s="239"/>
    </row>
    <row r="61" spans="1:7" ht="42" customHeight="1" thickBot="1">
      <c r="A61" s="255" t="s">
        <v>17</v>
      </c>
      <c r="B61" s="247">
        <f>SUM(B57:B60)</f>
        <v>0</v>
      </c>
      <c r="C61" s="247">
        <f>SUM(C57:C60)</f>
        <v>0</v>
      </c>
      <c r="D61" s="247">
        <f>SUM(D57:D60)</f>
        <v>0</v>
      </c>
      <c r="E61" s="247">
        <f>SUM(E57:E60)</f>
        <v>0</v>
      </c>
      <c r="F61" s="247">
        <f>SUM(F57:F60)</f>
        <v>0</v>
      </c>
      <c r="G61" s="489"/>
    </row>
    <row r="62" spans="1:7" ht="42" customHeight="1" thickBot="1">
      <c r="A62" s="249" t="s">
        <v>30</v>
      </c>
      <c r="B62" s="250"/>
      <c r="C62" s="251"/>
      <c r="D62" s="251"/>
      <c r="E62" s="251"/>
      <c r="F62" s="252"/>
      <c r="G62" s="239"/>
    </row>
    <row r="63" spans="1:7" ht="42" customHeight="1">
      <c r="A63" s="485" t="s">
        <v>74</v>
      </c>
      <c r="B63" s="253"/>
      <c r="C63" s="242"/>
      <c r="D63" s="242"/>
      <c r="E63" s="242"/>
      <c r="F63" s="254">
        <f t="shared" ref="F63:F76" si="6">SUM(B63:E63)</f>
        <v>0</v>
      </c>
      <c r="G63" s="239"/>
    </row>
    <row r="64" spans="1:7" ht="42" customHeight="1">
      <c r="A64" s="485" t="s">
        <v>11</v>
      </c>
      <c r="B64" s="244"/>
      <c r="C64" s="243"/>
      <c r="D64" s="243"/>
      <c r="E64" s="243"/>
      <c r="F64" s="245">
        <f t="shared" si="6"/>
        <v>0</v>
      </c>
      <c r="G64" s="239"/>
    </row>
    <row r="65" spans="1:7" ht="42" customHeight="1">
      <c r="A65" s="492" t="s">
        <v>12</v>
      </c>
      <c r="B65" s="256"/>
      <c r="C65" s="257"/>
      <c r="D65" s="257"/>
      <c r="E65" s="257"/>
      <c r="F65" s="258">
        <f t="shared" si="6"/>
        <v>0</v>
      </c>
      <c r="G65" s="239"/>
    </row>
    <row r="66" spans="1:7" ht="42" customHeight="1">
      <c r="A66" s="259" t="s">
        <v>18</v>
      </c>
      <c r="B66" s="260"/>
      <c r="C66" s="237"/>
      <c r="D66" s="237"/>
      <c r="E66" s="237"/>
      <c r="F66" s="237">
        <f t="shared" si="6"/>
        <v>0</v>
      </c>
      <c r="G66" s="239"/>
    </row>
    <row r="67" spans="1:7" ht="42" customHeight="1">
      <c r="A67" s="485" t="s">
        <v>13</v>
      </c>
      <c r="B67" s="253"/>
      <c r="C67" s="242"/>
      <c r="D67" s="242"/>
      <c r="E67" s="242"/>
      <c r="F67" s="254">
        <f>SUM(B67:E67)</f>
        <v>0</v>
      </c>
      <c r="G67" s="239"/>
    </row>
    <row r="68" spans="1:7" ht="42" customHeight="1" thickBot="1">
      <c r="A68" s="246"/>
      <c r="B68" s="256"/>
      <c r="C68" s="257"/>
      <c r="D68" s="257"/>
      <c r="E68" s="257"/>
      <c r="F68" s="258">
        <f t="shared" si="6"/>
        <v>0</v>
      </c>
      <c r="G68" s="239"/>
    </row>
    <row r="69" spans="1:7" ht="42" customHeight="1" thickBot="1">
      <c r="A69" s="249" t="s">
        <v>32</v>
      </c>
      <c r="B69" s="250"/>
      <c r="C69" s="251"/>
      <c r="D69" s="251"/>
      <c r="E69" s="251"/>
      <c r="F69" s="252"/>
      <c r="G69" s="239"/>
    </row>
    <row r="70" spans="1:7" ht="42" customHeight="1">
      <c r="A70" s="485" t="s">
        <v>14</v>
      </c>
      <c r="B70" s="253"/>
      <c r="C70" s="242"/>
      <c r="D70" s="242"/>
      <c r="E70" s="242"/>
      <c r="F70" s="254">
        <f t="shared" si="6"/>
        <v>0</v>
      </c>
      <c r="G70" s="239"/>
    </row>
    <row r="71" spans="1:7" ht="42" customHeight="1">
      <c r="A71" s="496" t="s">
        <v>120</v>
      </c>
      <c r="B71" s="244"/>
      <c r="C71" s="243"/>
      <c r="D71" s="243"/>
      <c r="E71" s="243"/>
      <c r="F71" s="245">
        <f t="shared" si="6"/>
        <v>0</v>
      </c>
      <c r="G71" s="239"/>
    </row>
    <row r="72" spans="1:7" ht="42" customHeight="1">
      <c r="A72" s="496" t="s">
        <v>121</v>
      </c>
      <c r="B72" s="244"/>
      <c r="C72" s="243"/>
      <c r="D72" s="243"/>
      <c r="E72" s="243"/>
      <c r="F72" s="245">
        <f t="shared" si="6"/>
        <v>0</v>
      </c>
      <c r="G72" s="239"/>
    </row>
    <row r="73" spans="1:7" ht="42" customHeight="1">
      <c r="A73" s="496" t="s">
        <v>119</v>
      </c>
      <c r="B73" s="244"/>
      <c r="C73" s="243"/>
      <c r="D73" s="243"/>
      <c r="E73" s="243"/>
      <c r="F73" s="245">
        <f t="shared" si="6"/>
        <v>0</v>
      </c>
      <c r="G73" s="239"/>
    </row>
    <row r="74" spans="1:7" ht="42" customHeight="1">
      <c r="A74" s="496" t="s">
        <v>118</v>
      </c>
      <c r="B74" s="244"/>
      <c r="C74" s="243"/>
      <c r="D74" s="243"/>
      <c r="E74" s="243"/>
      <c r="F74" s="245">
        <f t="shared" si="6"/>
        <v>0</v>
      </c>
      <c r="G74" s="239"/>
    </row>
    <row r="75" spans="1:7" ht="42" customHeight="1">
      <c r="A75" s="496" t="s">
        <v>59</v>
      </c>
      <c r="B75" s="244"/>
      <c r="C75" s="243"/>
      <c r="D75" s="243"/>
      <c r="E75" s="243"/>
      <c r="F75" s="245">
        <f t="shared" si="6"/>
        <v>0</v>
      </c>
      <c r="G75" s="239"/>
    </row>
    <row r="76" spans="1:7" ht="42" customHeight="1">
      <c r="A76" s="496" t="s">
        <v>116</v>
      </c>
      <c r="B76" s="244"/>
      <c r="C76" s="243"/>
      <c r="D76" s="243"/>
      <c r="E76" s="243"/>
      <c r="F76" s="245">
        <f t="shared" si="6"/>
        <v>0</v>
      </c>
      <c r="G76" s="239"/>
    </row>
    <row r="78" spans="1:7" ht="42" customHeight="1" thickBot="1"/>
    <row r="79" spans="1:7" ht="42" customHeight="1" thickBot="1">
      <c r="A79" s="658" t="s">
        <v>179</v>
      </c>
      <c r="B79" s="745" t="s">
        <v>172</v>
      </c>
      <c r="C79" s="746"/>
      <c r="D79" s="746"/>
      <c r="E79" s="746"/>
      <c r="F79" s="747"/>
    </row>
    <row r="80" spans="1:7" ht="42" customHeight="1" thickBot="1">
      <c r="A80" s="498" t="s">
        <v>158</v>
      </c>
      <c r="B80" s="680" t="s">
        <v>157</v>
      </c>
      <c r="C80" s="680" t="s">
        <v>156</v>
      </c>
      <c r="D80" s="681" t="s">
        <v>180</v>
      </c>
      <c r="E80" s="682" t="s">
        <v>141</v>
      </c>
      <c r="F80" s="683" t="s">
        <v>181</v>
      </c>
    </row>
    <row r="81" spans="1:6" ht="42" customHeight="1">
      <c r="A81" s="363"/>
      <c r="B81" s="363"/>
      <c r="C81" s="501"/>
      <c r="D81" s="670"/>
      <c r="E81" s="677"/>
      <c r="F81" s="698"/>
    </row>
    <row r="82" spans="1:6" ht="42" customHeight="1">
      <c r="A82" s="364"/>
      <c r="B82" s="364"/>
      <c r="C82" s="502"/>
      <c r="D82" s="671"/>
      <c r="E82" s="676"/>
      <c r="F82" s="699"/>
    </row>
    <row r="83" spans="1:6" ht="42" customHeight="1">
      <c r="A83" s="364"/>
      <c r="B83" s="364"/>
      <c r="C83" s="502"/>
      <c r="D83" s="671"/>
      <c r="E83" s="676"/>
      <c r="F83" s="699"/>
    </row>
    <row r="84" spans="1:6" ht="42" customHeight="1">
      <c r="A84" s="364"/>
      <c r="B84" s="364"/>
      <c r="C84" s="502"/>
      <c r="D84" s="671"/>
      <c r="E84" s="676"/>
      <c r="F84" s="699"/>
    </row>
    <row r="85" spans="1:6" ht="42" customHeight="1">
      <c r="A85" s="364"/>
      <c r="B85" s="364"/>
      <c r="C85" s="502"/>
      <c r="D85" s="671"/>
      <c r="E85" s="676"/>
      <c r="F85" s="699"/>
    </row>
    <row r="86" spans="1:6" ht="42" customHeight="1">
      <c r="A86" s="364"/>
      <c r="B86" s="364"/>
      <c r="C86" s="502"/>
      <c r="D86" s="671"/>
      <c r="E86" s="676"/>
      <c r="F86" s="699"/>
    </row>
    <row r="87" spans="1:6" ht="42" customHeight="1">
      <c r="A87" s="364"/>
      <c r="B87" s="364"/>
      <c r="C87" s="502"/>
      <c r="D87" s="671"/>
      <c r="E87" s="676"/>
      <c r="F87" s="699"/>
    </row>
    <row r="88" spans="1:6" ht="42" customHeight="1">
      <c r="A88" s="364"/>
      <c r="B88" s="364"/>
      <c r="C88" s="502"/>
      <c r="D88" s="671"/>
      <c r="E88" s="676"/>
      <c r="F88" s="699"/>
    </row>
    <row r="89" spans="1:6" ht="42" customHeight="1" thickBot="1">
      <c r="A89" s="700"/>
      <c r="B89" s="700"/>
      <c r="C89" s="503"/>
      <c r="D89" s="701"/>
      <c r="E89" s="702"/>
      <c r="F89" s="703"/>
    </row>
    <row r="90" spans="1:6" ht="42" customHeight="1" thickBot="1">
      <c r="A90" s="743" t="s">
        <v>105</v>
      </c>
      <c r="B90" s="744"/>
      <c r="C90" s="692">
        <f>SUM(C81:C89)</f>
        <v>0</v>
      </c>
      <c r="D90" s="693">
        <f t="shared" ref="D90:F90" si="7">SUM(D81:D89)</f>
        <v>0</v>
      </c>
      <c r="E90" s="693">
        <f t="shared" si="7"/>
        <v>0</v>
      </c>
      <c r="F90" s="693">
        <f t="shared" si="7"/>
        <v>0</v>
      </c>
    </row>
    <row r="92" spans="1:6" ht="42" customHeight="1" thickBot="1"/>
    <row r="93" spans="1:6" ht="42" customHeight="1" thickBot="1">
      <c r="A93" s="658" t="s">
        <v>182</v>
      </c>
      <c r="B93" s="745" t="s">
        <v>172</v>
      </c>
      <c r="C93" s="746"/>
      <c r="D93" s="746"/>
      <c r="E93" s="746"/>
      <c r="F93" s="747"/>
    </row>
    <row r="94" spans="1:6" ht="42" customHeight="1" thickBot="1">
      <c r="A94" s="498" t="s">
        <v>158</v>
      </c>
      <c r="B94" s="680" t="s">
        <v>157</v>
      </c>
      <c r="C94" s="680" t="s">
        <v>156</v>
      </c>
      <c r="D94" s="681" t="s">
        <v>180</v>
      </c>
      <c r="E94" s="682" t="s">
        <v>141</v>
      </c>
      <c r="F94" s="683" t="s">
        <v>181</v>
      </c>
    </row>
    <row r="95" spans="1:6" ht="42" customHeight="1">
      <c r="A95" s="363"/>
      <c r="B95" s="363"/>
      <c r="C95" s="501"/>
      <c r="D95" s="670"/>
      <c r="E95" s="677"/>
      <c r="F95" s="698"/>
    </row>
    <row r="96" spans="1:6" ht="42" customHeight="1">
      <c r="A96" s="364"/>
      <c r="B96" s="364"/>
      <c r="C96" s="502"/>
      <c r="D96" s="671"/>
      <c r="E96" s="676"/>
      <c r="F96" s="699"/>
    </row>
    <row r="97" spans="1:6" ht="42" customHeight="1">
      <c r="A97" s="364"/>
      <c r="B97" s="364"/>
      <c r="C97" s="502"/>
      <c r="D97" s="671"/>
      <c r="E97" s="676"/>
      <c r="F97" s="699"/>
    </row>
    <row r="98" spans="1:6" ht="42" customHeight="1">
      <c r="A98" s="364"/>
      <c r="B98" s="364"/>
      <c r="C98" s="502"/>
      <c r="D98" s="671"/>
      <c r="E98" s="676"/>
      <c r="F98" s="699"/>
    </row>
    <row r="99" spans="1:6" ht="42" customHeight="1">
      <c r="A99" s="364"/>
      <c r="B99" s="364"/>
      <c r="C99" s="502"/>
      <c r="D99" s="671"/>
      <c r="E99" s="676"/>
      <c r="F99" s="699"/>
    </row>
    <row r="100" spans="1:6" ht="42" customHeight="1">
      <c r="A100" s="364"/>
      <c r="B100" s="364"/>
      <c r="C100" s="502"/>
      <c r="D100" s="671"/>
      <c r="E100" s="676"/>
      <c r="F100" s="699"/>
    </row>
    <row r="101" spans="1:6" ht="42" customHeight="1">
      <c r="A101" s="364"/>
      <c r="B101" s="364"/>
      <c r="C101" s="502"/>
      <c r="D101" s="671"/>
      <c r="E101" s="676"/>
      <c r="F101" s="699"/>
    </row>
    <row r="102" spans="1:6" ht="42" customHeight="1">
      <c r="A102" s="364"/>
      <c r="B102" s="364"/>
      <c r="C102" s="502"/>
      <c r="D102" s="671"/>
      <c r="E102" s="676"/>
      <c r="F102" s="699"/>
    </row>
    <row r="103" spans="1:6" ht="42" customHeight="1" thickBot="1">
      <c r="A103" s="700"/>
      <c r="B103" s="700"/>
      <c r="C103" s="503"/>
      <c r="D103" s="701"/>
      <c r="E103" s="702"/>
      <c r="F103" s="703"/>
    </row>
    <row r="104" spans="1:6" ht="42" customHeight="1" thickBot="1">
      <c r="A104" s="743" t="s">
        <v>105</v>
      </c>
      <c r="B104" s="744"/>
      <c r="C104" s="692">
        <f>SUM(C95:C103)</f>
        <v>0</v>
      </c>
      <c r="D104" s="693">
        <f t="shared" ref="D104" si="8">SUM(D95:D103)</f>
        <v>0</v>
      </c>
      <c r="E104" s="693">
        <f t="shared" ref="E104" si="9">SUM(E95:E103)</f>
        <v>0</v>
      </c>
      <c r="F104" s="693">
        <f t="shared" ref="F104" si="10">SUM(F95:F103)</f>
        <v>0</v>
      </c>
    </row>
    <row r="106" spans="1:6" ht="42" customHeight="1" thickBot="1"/>
    <row r="107" spans="1:6" ht="42" customHeight="1" thickBot="1">
      <c r="A107" s="658" t="s">
        <v>186</v>
      </c>
    </row>
    <row r="108" spans="1:6" ht="42" customHeight="1" thickBot="1">
      <c r="A108" s="498" t="s">
        <v>158</v>
      </c>
      <c r="B108" s="680" t="s">
        <v>157</v>
      </c>
      <c r="C108" s="680" t="s">
        <v>156</v>
      </c>
    </row>
    <row r="109" spans="1:6" ht="42" customHeight="1">
      <c r="A109" s="363"/>
      <c r="B109" s="363"/>
      <c r="C109" s="501"/>
    </row>
    <row r="110" spans="1:6" ht="42" customHeight="1">
      <c r="A110" s="364"/>
      <c r="B110" s="364"/>
      <c r="C110" s="502"/>
    </row>
    <row r="111" spans="1:6" ht="42" customHeight="1">
      <c r="A111" s="364"/>
      <c r="B111" s="364"/>
      <c r="C111" s="502"/>
    </row>
    <row r="112" spans="1:6" ht="42" customHeight="1">
      <c r="A112" s="364"/>
      <c r="B112" s="364"/>
      <c r="C112" s="502"/>
    </row>
    <row r="113" spans="1:3" ht="42" customHeight="1">
      <c r="A113" s="364"/>
      <c r="B113" s="364"/>
      <c r="C113" s="502"/>
    </row>
    <row r="114" spans="1:3" ht="42" customHeight="1">
      <c r="A114" s="364"/>
      <c r="B114" s="364"/>
      <c r="C114" s="502"/>
    </row>
    <row r="115" spans="1:3" ht="42" customHeight="1">
      <c r="A115" s="364"/>
      <c r="B115" s="364"/>
      <c r="C115" s="502"/>
    </row>
    <row r="116" spans="1:3" ht="42" customHeight="1">
      <c r="A116" s="364"/>
      <c r="B116" s="364"/>
      <c r="C116" s="502"/>
    </row>
    <row r="117" spans="1:3" ht="42" customHeight="1" thickBot="1">
      <c r="A117" s="700"/>
      <c r="B117" s="700"/>
      <c r="C117" s="503"/>
    </row>
    <row r="118" spans="1:3" ht="42" customHeight="1" thickBot="1">
      <c r="A118" s="743" t="s">
        <v>105</v>
      </c>
      <c r="B118" s="744"/>
      <c r="C118" s="692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" right="0" top="0.35433070866141736" bottom="0.15748031496062992" header="0.31496062992125984" footer="0"/>
  <pageSetup paperSize="9" scale="22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18"/>
  <sheetViews>
    <sheetView zoomScale="31" zoomScaleNormal="29" workbookViewId="0">
      <selection activeCell="N20" sqref="N20"/>
    </sheetView>
  </sheetViews>
  <sheetFormatPr defaultColWidth="28.42578125" defaultRowHeight="25.5"/>
  <cols>
    <col min="1" max="1" width="81.7109375" style="105" customWidth="1"/>
    <col min="2" max="2" width="50.42578125" style="105" customWidth="1"/>
    <col min="3" max="3" width="84.42578125" style="105" bestFit="1" customWidth="1"/>
    <col min="4" max="4" width="84" style="105" bestFit="1" customWidth="1"/>
    <col min="5" max="5" width="46.7109375" style="105" bestFit="1" customWidth="1"/>
    <col min="6" max="6" width="60" style="105" bestFit="1" customWidth="1"/>
    <col min="7" max="7" width="54" style="105" bestFit="1" customWidth="1"/>
    <col min="8" max="8" width="47.5703125" style="105" bestFit="1" customWidth="1"/>
    <col min="9" max="9" width="27.85546875" style="105" bestFit="1" customWidth="1"/>
    <col min="10" max="16384" width="28.42578125" style="105"/>
  </cols>
  <sheetData>
    <row r="1" spans="1:9" ht="61.5" thickBot="1">
      <c r="A1" s="296" t="s">
        <v>173</v>
      </c>
      <c r="B1" s="111"/>
      <c r="C1" s="110"/>
      <c r="D1" s="107"/>
      <c r="E1" s="110"/>
      <c r="G1" s="430" t="s">
        <v>160</v>
      </c>
    </row>
    <row r="2" spans="1:9" ht="34.5" thickBot="1">
      <c r="A2" s="298">
        <f>SUM('1st'!A2 +1)</f>
        <v>45871</v>
      </c>
      <c r="B2" s="298" t="s">
        <v>146</v>
      </c>
      <c r="C2" s="298" t="s">
        <v>154</v>
      </c>
      <c r="D2" s="298" t="s">
        <v>147</v>
      </c>
      <c r="E2" s="298" t="s">
        <v>148</v>
      </c>
      <c r="F2" s="298" t="s">
        <v>152</v>
      </c>
      <c r="G2" s="298" t="s">
        <v>159</v>
      </c>
      <c r="H2" s="298" t="s">
        <v>149</v>
      </c>
      <c r="I2" s="298" t="s">
        <v>150</v>
      </c>
    </row>
    <row r="3" spans="1:9" ht="44.25">
      <c r="A3" s="299" t="s">
        <v>79</v>
      </c>
      <c r="B3" s="319"/>
      <c r="C3" s="267"/>
      <c r="D3" s="344"/>
      <c r="E3" s="421">
        <f t="shared" ref="E3:E17" si="0">SUM(E31+F31)</f>
        <v>0</v>
      </c>
      <c r="F3" s="393">
        <f>D3-B3</f>
        <v>0</v>
      </c>
      <c r="G3" s="414">
        <f>E3-C3</f>
        <v>0</v>
      </c>
      <c r="H3" s="383"/>
      <c r="I3" s="501"/>
    </row>
    <row r="4" spans="1:9" ht="44.25">
      <c r="A4" s="300" t="s">
        <v>80</v>
      </c>
      <c r="B4" s="320"/>
      <c r="C4" s="236"/>
      <c r="D4" s="345"/>
      <c r="E4" s="421">
        <f t="shared" si="0"/>
        <v>0</v>
      </c>
      <c r="F4" s="394">
        <f t="shared" ref="F4:G19" si="1">D4-B4</f>
        <v>0</v>
      </c>
      <c r="G4" s="415">
        <f t="shared" si="1"/>
        <v>0</v>
      </c>
      <c r="H4" s="384"/>
      <c r="I4" s="502"/>
    </row>
    <row r="5" spans="1:9" ht="44.25">
      <c r="A5" s="300" t="s">
        <v>81</v>
      </c>
      <c r="B5" s="320"/>
      <c r="C5" s="236"/>
      <c r="D5" s="345"/>
      <c r="E5" s="421">
        <f t="shared" si="0"/>
        <v>0</v>
      </c>
      <c r="F5" s="394">
        <f t="shared" si="1"/>
        <v>0</v>
      </c>
      <c r="G5" s="415">
        <f t="shared" si="1"/>
        <v>0</v>
      </c>
      <c r="H5" s="384"/>
      <c r="I5" s="502"/>
    </row>
    <row r="6" spans="1:9" ht="44.25">
      <c r="A6" s="300" t="s">
        <v>78</v>
      </c>
      <c r="B6" s="320"/>
      <c r="C6" s="236"/>
      <c r="D6" s="345"/>
      <c r="E6" s="421">
        <f t="shared" si="0"/>
        <v>0</v>
      </c>
      <c r="F6" s="394">
        <f t="shared" si="1"/>
        <v>0</v>
      </c>
      <c r="G6" s="415">
        <f t="shared" si="1"/>
        <v>0</v>
      </c>
      <c r="H6" s="384"/>
      <c r="I6" s="502"/>
    </row>
    <row r="7" spans="1:9" ht="48.75" thickBot="1">
      <c r="A7" s="329" t="s">
        <v>143</v>
      </c>
      <c r="B7" s="321"/>
      <c r="C7" s="268"/>
      <c r="D7" s="346"/>
      <c r="E7" s="421">
        <f t="shared" si="0"/>
        <v>0</v>
      </c>
      <c r="F7" s="399">
        <f t="shared" si="1"/>
        <v>0</v>
      </c>
      <c r="G7" s="416">
        <f t="shared" si="1"/>
        <v>0</v>
      </c>
      <c r="H7" s="385"/>
      <c r="I7" s="503"/>
    </row>
    <row r="8" spans="1:9" ht="48">
      <c r="A8" s="330" t="s">
        <v>82</v>
      </c>
      <c r="B8" s="322">
        <v>491.6</v>
      </c>
      <c r="C8" s="238">
        <v>3855.99</v>
      </c>
      <c r="D8" s="347">
        <v>491.6</v>
      </c>
      <c r="E8" s="421">
        <v>3855.99</v>
      </c>
      <c r="F8" s="393">
        <f t="shared" si="1"/>
        <v>0</v>
      </c>
      <c r="G8" s="414">
        <f t="shared" si="1"/>
        <v>0</v>
      </c>
      <c r="H8" s="386"/>
      <c r="I8" s="504">
        <v>252.34</v>
      </c>
    </row>
    <row r="9" spans="1:9" ht="48">
      <c r="A9" s="279" t="s">
        <v>83</v>
      </c>
      <c r="B9" s="320"/>
      <c r="C9" s="236"/>
      <c r="D9" s="345"/>
      <c r="E9" s="421">
        <f t="shared" si="0"/>
        <v>0</v>
      </c>
      <c r="F9" s="394"/>
      <c r="G9" s="415">
        <f t="shared" si="1"/>
        <v>0</v>
      </c>
      <c r="H9" s="384"/>
      <c r="I9" s="502"/>
    </row>
    <row r="10" spans="1:9" ht="48">
      <c r="A10" s="279" t="s">
        <v>84</v>
      </c>
      <c r="B10" s="320"/>
      <c r="C10" s="236"/>
      <c r="D10" s="345"/>
      <c r="E10" s="421">
        <f t="shared" si="0"/>
        <v>0</v>
      </c>
      <c r="F10" s="394">
        <f t="shared" si="1"/>
        <v>0</v>
      </c>
      <c r="G10" s="415">
        <f t="shared" si="1"/>
        <v>0</v>
      </c>
      <c r="H10" s="384"/>
      <c r="I10" s="502"/>
    </row>
    <row r="11" spans="1:9" ht="48">
      <c r="A11" s="279" t="s">
        <v>106</v>
      </c>
      <c r="B11" s="320"/>
      <c r="C11" s="236"/>
      <c r="D11" s="345"/>
      <c r="E11" s="421">
        <f t="shared" si="0"/>
        <v>0</v>
      </c>
      <c r="F11" s="394">
        <f t="shared" si="1"/>
        <v>0</v>
      </c>
      <c r="G11" s="415">
        <f t="shared" si="1"/>
        <v>0</v>
      </c>
      <c r="H11" s="384"/>
      <c r="I11" s="502"/>
    </row>
    <row r="12" spans="1:9" ht="48">
      <c r="A12" s="279" t="s">
        <v>85</v>
      </c>
      <c r="B12" s="320"/>
      <c r="C12" s="236"/>
      <c r="D12" s="345"/>
      <c r="E12" s="421">
        <f t="shared" si="0"/>
        <v>0</v>
      </c>
      <c r="F12" s="394">
        <f t="shared" si="1"/>
        <v>0</v>
      </c>
      <c r="G12" s="415">
        <f t="shared" si="1"/>
        <v>0</v>
      </c>
      <c r="H12" s="384"/>
      <c r="I12" s="502"/>
    </row>
    <row r="13" spans="1:9" ht="48">
      <c r="A13" s="279" t="s">
        <v>86</v>
      </c>
      <c r="B13" s="320"/>
      <c r="C13" s="236"/>
      <c r="D13" s="345"/>
      <c r="E13" s="421">
        <f t="shared" si="0"/>
        <v>0</v>
      </c>
      <c r="F13" s="394">
        <f t="shared" si="1"/>
        <v>0</v>
      </c>
      <c r="G13" s="415">
        <f t="shared" si="1"/>
        <v>0</v>
      </c>
      <c r="H13" s="384"/>
      <c r="I13" s="502"/>
    </row>
    <row r="14" spans="1:9" ht="48">
      <c r="A14" s="279" t="s">
        <v>87</v>
      </c>
      <c r="B14" s="320">
        <v>85.6</v>
      </c>
      <c r="C14" s="236">
        <v>646.85</v>
      </c>
      <c r="D14" s="345">
        <v>85.6</v>
      </c>
      <c r="E14" s="421">
        <v>646.85</v>
      </c>
      <c r="F14" s="394">
        <f t="shared" si="1"/>
        <v>0</v>
      </c>
      <c r="G14" s="415">
        <f t="shared" si="1"/>
        <v>0</v>
      </c>
      <c r="H14" s="384"/>
      <c r="I14" s="502">
        <v>64.75</v>
      </c>
    </row>
    <row r="15" spans="1:9" ht="48">
      <c r="A15" s="279" t="s">
        <v>88</v>
      </c>
      <c r="B15" s="320"/>
      <c r="C15" s="236"/>
      <c r="D15" s="345"/>
      <c r="E15" s="421">
        <f t="shared" si="0"/>
        <v>0</v>
      </c>
      <c r="F15" s="394">
        <f t="shared" si="1"/>
        <v>0</v>
      </c>
      <c r="G15" s="415">
        <f t="shared" si="1"/>
        <v>0</v>
      </c>
      <c r="H15" s="384"/>
      <c r="I15" s="502"/>
    </row>
    <row r="16" spans="1:9" ht="48">
      <c r="A16" s="279" t="s">
        <v>107</v>
      </c>
      <c r="B16" s="320">
        <v>476.3</v>
      </c>
      <c r="C16" s="236">
        <v>3066.91</v>
      </c>
      <c r="D16" s="345">
        <v>476.3</v>
      </c>
      <c r="E16" s="421">
        <v>3066.91</v>
      </c>
      <c r="F16" s="394">
        <f t="shared" si="1"/>
        <v>0</v>
      </c>
      <c r="G16" s="415">
        <f t="shared" si="1"/>
        <v>0</v>
      </c>
      <c r="H16" s="384"/>
      <c r="I16" s="502">
        <v>242.81</v>
      </c>
    </row>
    <row r="17" spans="1:9" ht="48.75" thickBot="1">
      <c r="A17" s="404" t="s">
        <v>89</v>
      </c>
      <c r="B17" s="337"/>
      <c r="C17" s="338"/>
      <c r="D17" s="348"/>
      <c r="E17" s="421">
        <f t="shared" si="0"/>
        <v>0</v>
      </c>
      <c r="F17" s="395">
        <f t="shared" si="1"/>
        <v>0</v>
      </c>
      <c r="G17" s="416">
        <f>E17-C17</f>
        <v>0</v>
      </c>
      <c r="H17" s="405"/>
      <c r="I17" s="505"/>
    </row>
    <row r="18" spans="1:9" ht="48.75" thickBot="1">
      <c r="A18" s="280" t="s">
        <v>151</v>
      </c>
      <c r="B18" s="412">
        <f>SUM(B8:B17)</f>
        <v>1053.5</v>
      </c>
      <c r="C18" s="412">
        <f t="shared" ref="C18:H18" si="2">SUM(C8:C17)</f>
        <v>7569.75</v>
      </c>
      <c r="D18" s="412">
        <f t="shared" si="2"/>
        <v>1053.5</v>
      </c>
      <c r="E18" s="412">
        <f t="shared" si="2"/>
        <v>7569.75</v>
      </c>
      <c r="F18" s="412">
        <f t="shared" si="2"/>
        <v>0</v>
      </c>
      <c r="G18" s="412">
        <f t="shared" si="2"/>
        <v>0</v>
      </c>
      <c r="H18" s="412">
        <f t="shared" si="2"/>
        <v>0</v>
      </c>
      <c r="I18" s="412">
        <f>SUM(I8:I17)</f>
        <v>559.90000000000009</v>
      </c>
    </row>
    <row r="19" spans="1:9" ht="86.25" thickBot="1">
      <c r="A19" s="408" t="s">
        <v>155</v>
      </c>
      <c r="B19" s="722">
        <f>SUM(D104)</f>
        <v>0</v>
      </c>
      <c r="C19" s="723">
        <f>F104+E104</f>
        <v>0</v>
      </c>
      <c r="D19" s="409"/>
      <c r="E19" s="716">
        <f>SUM(E46+F46-E47-F47)</f>
        <v>0</v>
      </c>
      <c r="F19" s="717">
        <f t="shared" si="1"/>
        <v>0</v>
      </c>
      <c r="G19" s="693">
        <f>E19-C19</f>
        <v>0</v>
      </c>
      <c r="H19" s="718">
        <f>SUM(C118)</f>
        <v>0</v>
      </c>
      <c r="I19" s="726">
        <f>(D19+E19+H19)*0.95/11</f>
        <v>0</v>
      </c>
    </row>
    <row r="20" spans="1:9" ht="48">
      <c r="A20" s="281" t="s">
        <v>134</v>
      </c>
      <c r="B20" s="341"/>
      <c r="C20" s="267"/>
      <c r="D20" s="349"/>
      <c r="E20" s="373"/>
      <c r="F20" s="369"/>
      <c r="G20" s="378"/>
      <c r="H20" s="501"/>
      <c r="I20" s="501"/>
    </row>
    <row r="21" spans="1:9" ht="48">
      <c r="A21" s="331" t="s">
        <v>135</v>
      </c>
      <c r="B21" s="323"/>
      <c r="C21" s="236"/>
      <c r="D21" s="350"/>
      <c r="E21" s="374"/>
      <c r="F21" s="370"/>
      <c r="G21" s="379"/>
      <c r="H21" s="502"/>
      <c r="I21" s="502"/>
    </row>
    <row r="22" spans="1:9" ht="48.75" thickBot="1">
      <c r="A22" s="282" t="s">
        <v>187</v>
      </c>
      <c r="B22" s="321"/>
      <c r="C22" s="268"/>
      <c r="D22" s="346"/>
      <c r="E22" s="360"/>
      <c r="F22" s="292"/>
      <c r="G22" s="377"/>
      <c r="H22" s="503"/>
      <c r="I22" s="503"/>
    </row>
    <row r="23" spans="1:9" ht="45.75" thickBot="1">
      <c r="A23" s="335" t="s">
        <v>0</v>
      </c>
      <c r="B23" s="289">
        <f>SUM(B3+B4+B5+B6+B7+B18+B19+B22)</f>
        <v>1053.5</v>
      </c>
      <c r="C23" s="293">
        <f>SUM(C3+C4+C5+C6+C7+C18+C19+C20+C21+C22)</f>
        <v>7569.75</v>
      </c>
      <c r="D23" s="293">
        <f>SUM(D3+D4+D5+D6+D7+D18+D19+D20+D21+D22)-C40</f>
        <v>0</v>
      </c>
      <c r="E23" s="293">
        <f>SUM(E3+E4+E5+E6+E7+E18+E19+E20+E21+E22)</f>
        <v>7569.75</v>
      </c>
      <c r="F23" s="293">
        <f>SUM(F3+F4+F5+F6+F7+F18+F19+F20+F21+F22)</f>
        <v>0</v>
      </c>
      <c r="G23" s="293">
        <f>SUM(G3+G4+G5+G6+G7+G18+G19+G20+G21+G22)</f>
        <v>0</v>
      </c>
      <c r="H23" s="293">
        <f t="shared" ref="H23" si="3">SUM(H3+H4+H5+H6+H7+H18+H19+H20+H21+H22)</f>
        <v>0</v>
      </c>
      <c r="I23" s="293">
        <f>SUM(I3+I4+I5+I6+I7+I18+I19+I20+I21+I22)</f>
        <v>559.90000000000009</v>
      </c>
    </row>
    <row r="24" spans="1:9" ht="45.75" thickBot="1">
      <c r="A24" s="235" t="s">
        <v>180</v>
      </c>
      <c r="B24" s="739"/>
      <c r="C24" s="235"/>
      <c r="D24" s="235"/>
      <c r="E24" s="295"/>
      <c r="F24" s="235"/>
      <c r="G24" s="235"/>
      <c r="H24" s="235"/>
      <c r="I24" s="235"/>
    </row>
    <row r="25" spans="1:9" ht="45.75" thickBot="1">
      <c r="A25" s="475" t="s">
        <v>171</v>
      </c>
      <c r="B25" s="477" t="s">
        <v>153</v>
      </c>
      <c r="C25" s="477" t="s">
        <v>185</v>
      </c>
      <c r="E25" s="105" t="s">
        <v>165</v>
      </c>
      <c r="G25" s="453" t="s">
        <v>167</v>
      </c>
      <c r="H25" s="518"/>
    </row>
    <row r="26" spans="1:9" ht="45.75" thickBot="1">
      <c r="A26" s="466" t="s">
        <v>194</v>
      </c>
      <c r="B26" s="462"/>
      <c r="C26" s="462">
        <v>1053.5</v>
      </c>
      <c r="E26" s="440" t="s">
        <v>166</v>
      </c>
      <c r="F26" s="445"/>
      <c r="G26" s="451" t="s">
        <v>161</v>
      </c>
      <c r="H26" s="750"/>
      <c r="I26" s="751"/>
    </row>
    <row r="27" spans="1:9" ht="45.75" thickBot="1">
      <c r="A27" s="466" t="s">
        <v>92</v>
      </c>
      <c r="B27" s="463"/>
      <c r="C27" s="462"/>
      <c r="E27" s="441" t="s">
        <v>164</v>
      </c>
      <c r="F27" s="403"/>
      <c r="G27" s="442" t="s">
        <v>162</v>
      </c>
      <c r="H27" s="433" t="s">
        <v>163</v>
      </c>
    </row>
    <row r="28" spans="1:9" ht="45.75" thickBot="1">
      <c r="A28" s="466" t="s">
        <v>93</v>
      </c>
      <c r="B28" s="463"/>
      <c r="C28" s="462"/>
    </row>
    <row r="29" spans="1:9" ht="45.75" thickBot="1">
      <c r="A29" s="466" t="s">
        <v>94</v>
      </c>
      <c r="B29" s="463"/>
      <c r="C29" s="462"/>
      <c r="D29" s="108"/>
      <c r="H29" s="460" t="s">
        <v>168</v>
      </c>
      <c r="I29" s="461">
        <f>SUM(B23+C23+G23+F23+H23-I23)</f>
        <v>8063.35</v>
      </c>
    </row>
    <row r="30" spans="1:9" ht="45.75" thickBot="1">
      <c r="A30" s="466" t="s">
        <v>95</v>
      </c>
      <c r="B30" s="463"/>
      <c r="C30" s="462"/>
      <c r="D30" s="666" t="s">
        <v>170</v>
      </c>
      <c r="E30" s="303" t="s">
        <v>141</v>
      </c>
      <c r="F30" s="304" t="s">
        <v>142</v>
      </c>
      <c r="H30" s="456" t="s">
        <v>169</v>
      </c>
      <c r="I30" s="457">
        <f>SUM(D23+'1st'!I30-'2nd'!H25)</f>
        <v>-9.9999999997635314E-3</v>
      </c>
    </row>
    <row r="31" spans="1:9" ht="45">
      <c r="A31" s="466" t="s">
        <v>96</v>
      </c>
      <c r="B31" s="463"/>
      <c r="C31" s="462"/>
      <c r="D31" s="308" t="s">
        <v>79</v>
      </c>
      <c r="E31" s="524"/>
      <c r="F31" s="420"/>
      <c r="G31" s="106"/>
    </row>
    <row r="32" spans="1:9" ht="45">
      <c r="A32" s="466" t="s">
        <v>97</v>
      </c>
      <c r="B32" s="463"/>
      <c r="C32" s="462"/>
      <c r="D32" s="309" t="s">
        <v>80</v>
      </c>
      <c r="E32" s="525"/>
      <c r="F32" s="421">
        <f t="shared" ref="F32:F43" si="4">SUM(F60+G60)</f>
        <v>0</v>
      </c>
      <c r="G32" s="106"/>
    </row>
    <row r="33" spans="1:7" ht="45">
      <c r="A33" s="466" t="s">
        <v>98</v>
      </c>
      <c r="B33" s="463"/>
      <c r="C33" s="462"/>
      <c r="D33" s="309" t="s">
        <v>81</v>
      </c>
      <c r="E33" s="525"/>
      <c r="F33" s="421"/>
      <c r="G33" s="106"/>
    </row>
    <row r="34" spans="1:7" ht="45">
      <c r="A34" s="466" t="s">
        <v>99</v>
      </c>
      <c r="B34" s="463"/>
      <c r="C34" s="462"/>
      <c r="D34" s="309" t="s">
        <v>78</v>
      </c>
      <c r="E34" s="525"/>
      <c r="F34" s="421"/>
      <c r="G34" s="106"/>
    </row>
    <row r="35" spans="1:7" ht="45.75" thickBot="1">
      <c r="A35" s="466" t="s">
        <v>100</v>
      </c>
      <c r="B35" s="463"/>
      <c r="C35" s="462"/>
      <c r="D35" s="413" t="s">
        <v>143</v>
      </c>
      <c r="E35" s="526"/>
      <c r="F35" s="422"/>
      <c r="G35" s="106"/>
    </row>
    <row r="36" spans="1:7" ht="45">
      <c r="A36" s="466" t="s">
        <v>101</v>
      </c>
      <c r="B36" s="463"/>
      <c r="C36" s="462"/>
      <c r="D36" s="308" t="s">
        <v>82</v>
      </c>
      <c r="E36" s="524"/>
      <c r="F36" s="426"/>
      <c r="G36" s="106"/>
    </row>
    <row r="37" spans="1:7" ht="45">
      <c r="A37" s="466" t="s">
        <v>102</v>
      </c>
      <c r="B37" s="463"/>
      <c r="C37" s="462"/>
      <c r="D37" s="309" t="s">
        <v>83</v>
      </c>
      <c r="E37" s="525"/>
      <c r="F37" s="421">
        <f t="shared" si="4"/>
        <v>0</v>
      </c>
      <c r="G37" s="106"/>
    </row>
    <row r="38" spans="1:7" ht="45">
      <c r="A38" s="466" t="s">
        <v>103</v>
      </c>
      <c r="B38" s="463"/>
      <c r="C38" s="462"/>
      <c r="D38" s="309" t="s">
        <v>84</v>
      </c>
      <c r="E38" s="525"/>
      <c r="F38" s="421">
        <f t="shared" si="4"/>
        <v>0</v>
      </c>
      <c r="G38" s="106"/>
    </row>
    <row r="39" spans="1:7" ht="45.75" thickBot="1">
      <c r="A39" s="469" t="s">
        <v>104</v>
      </c>
      <c r="B39" s="470"/>
      <c r="C39" s="462"/>
      <c r="D39" s="309" t="s">
        <v>106</v>
      </c>
      <c r="E39" s="525"/>
      <c r="F39" s="421"/>
      <c r="G39" s="106"/>
    </row>
    <row r="40" spans="1:7" ht="45.75" thickBot="1">
      <c r="A40" s="473" t="s">
        <v>144</v>
      </c>
      <c r="B40" s="519">
        <f>SUM(B26:B39)</f>
        <v>0</v>
      </c>
      <c r="C40" s="519">
        <f>SUM(C26:C39)</f>
        <v>1053.5</v>
      </c>
      <c r="D40" s="309" t="s">
        <v>85</v>
      </c>
      <c r="E40" s="525"/>
      <c r="F40" s="421">
        <f t="shared" si="4"/>
        <v>0</v>
      </c>
      <c r="G40" s="106"/>
    </row>
    <row r="41" spans="1:7" ht="45">
      <c r="A41" s="157"/>
      <c r="B41" s="157"/>
      <c r="C41" s="157"/>
      <c r="D41" s="309" t="s">
        <v>86</v>
      </c>
      <c r="E41" s="525"/>
      <c r="F41" s="421"/>
      <c r="G41" s="106"/>
    </row>
    <row r="42" spans="1:7" ht="45">
      <c r="C42" s="157"/>
      <c r="D42" s="309" t="s">
        <v>87</v>
      </c>
      <c r="E42" s="525"/>
      <c r="F42" s="421"/>
      <c r="G42" s="106"/>
    </row>
    <row r="43" spans="1:7" ht="45">
      <c r="C43" s="157"/>
      <c r="D43" s="309" t="s">
        <v>88</v>
      </c>
      <c r="E43" s="525"/>
      <c r="F43" s="421">
        <f t="shared" si="4"/>
        <v>0</v>
      </c>
      <c r="G43" s="106"/>
    </row>
    <row r="44" spans="1:7" ht="45">
      <c r="C44" s="157"/>
      <c r="D44" s="309" t="s">
        <v>107</v>
      </c>
      <c r="E44" s="525"/>
      <c r="F44" s="421"/>
      <c r="G44" s="106"/>
    </row>
    <row r="45" spans="1:7" ht="45.75" thickBot="1">
      <c r="A45" s="157"/>
      <c r="B45" s="157"/>
      <c r="C45" s="157"/>
      <c r="D45" s="310" t="s">
        <v>89</v>
      </c>
      <c r="E45" s="526"/>
      <c r="F45" s="427"/>
      <c r="G45" s="106"/>
    </row>
    <row r="46" spans="1:7" ht="45.75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45.75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7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</row>
    <row r="49" spans="1:8">
      <c r="A49" s="487" t="s">
        <v>2</v>
      </c>
      <c r="B49" s="211"/>
      <c r="C49" s="163"/>
      <c r="D49" s="163"/>
      <c r="E49" s="163"/>
      <c r="F49" s="174">
        <f>SUM(B49:E49)</f>
        <v>0</v>
      </c>
      <c r="G49" s="156"/>
    </row>
    <row r="50" spans="1:8">
      <c r="A50" s="488" t="s">
        <v>3</v>
      </c>
      <c r="B50" s="210"/>
      <c r="C50" s="158"/>
      <c r="D50" s="158"/>
      <c r="E50" s="158"/>
      <c r="F50" s="159">
        <f t="shared" ref="F50:F60" si="5">SUM(B50:E50)</f>
        <v>0</v>
      </c>
      <c r="G50" s="156"/>
    </row>
    <row r="51" spans="1:8">
      <c r="A51" s="488" t="s">
        <v>4</v>
      </c>
      <c r="B51" s="210"/>
      <c r="C51" s="158"/>
      <c r="D51" s="158"/>
      <c r="E51" s="158"/>
      <c r="F51" s="159">
        <f t="shared" si="5"/>
        <v>0</v>
      </c>
      <c r="G51" s="156"/>
    </row>
    <row r="52" spans="1:8">
      <c r="A52" s="488" t="s">
        <v>5</v>
      </c>
      <c r="B52" s="210"/>
      <c r="C52" s="158"/>
      <c r="D52" s="158"/>
      <c r="E52" s="158"/>
      <c r="F52" s="159">
        <f t="shared" si="5"/>
        <v>0</v>
      </c>
      <c r="G52" s="156"/>
      <c r="H52" s="266"/>
    </row>
    <row r="53" spans="1:8">
      <c r="A53" s="488" t="s">
        <v>115</v>
      </c>
      <c r="B53" s="210"/>
      <c r="C53" s="158"/>
      <c r="D53" s="158"/>
      <c r="E53" s="158"/>
      <c r="F53" s="159">
        <f t="shared" si="5"/>
        <v>0</v>
      </c>
      <c r="G53" s="156"/>
    </row>
    <row r="54" spans="1:8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8" ht="26.25" thickBot="1">
      <c r="A55" s="10" t="s">
        <v>16</v>
      </c>
      <c r="B55" s="214">
        <f>SUM(B49:B54)</f>
        <v>0</v>
      </c>
      <c r="C55" s="214">
        <f>SUM(C49:C54)</f>
        <v>0</v>
      </c>
      <c r="D55" s="214">
        <f>SUM(D49:D54)</f>
        <v>0</v>
      </c>
      <c r="E55" s="214">
        <f>SUM(E49:E54)</f>
        <v>0</v>
      </c>
      <c r="F55" s="177">
        <f t="shared" si="5"/>
        <v>0</v>
      </c>
      <c r="G55" s="156"/>
    </row>
    <row r="56" spans="1:8" ht="26.25" thickBot="1">
      <c r="A56" s="176" t="s">
        <v>29</v>
      </c>
      <c r="B56" s="166"/>
      <c r="C56" s="167"/>
      <c r="D56" s="167"/>
      <c r="E56" s="167"/>
      <c r="F56" s="168"/>
      <c r="G56" s="156"/>
    </row>
    <row r="57" spans="1:8">
      <c r="A57" s="487" t="s">
        <v>7</v>
      </c>
      <c r="B57" s="211"/>
      <c r="C57" s="163"/>
      <c r="D57" s="163"/>
      <c r="E57" s="163"/>
      <c r="F57" s="174">
        <f t="shared" si="5"/>
        <v>0</v>
      </c>
      <c r="G57" s="156"/>
    </row>
    <row r="58" spans="1:8">
      <c r="A58" s="488" t="s">
        <v>8</v>
      </c>
      <c r="B58" s="210"/>
      <c r="C58" s="158"/>
      <c r="D58" s="158"/>
      <c r="E58" s="158"/>
      <c r="F58" s="159">
        <f t="shared" si="5"/>
        <v>0</v>
      </c>
      <c r="G58" s="156"/>
    </row>
    <row r="59" spans="1:8">
      <c r="A59" s="488" t="s">
        <v>9</v>
      </c>
      <c r="B59" s="210"/>
      <c r="C59" s="158"/>
      <c r="D59" s="158"/>
      <c r="E59" s="158"/>
      <c r="F59" s="159">
        <f t="shared" si="5"/>
        <v>0</v>
      </c>
      <c r="G59" s="156"/>
    </row>
    <row r="60" spans="1:8">
      <c r="A60" s="488" t="s">
        <v>10</v>
      </c>
      <c r="B60" s="210"/>
      <c r="C60" s="158"/>
      <c r="D60" s="158"/>
      <c r="E60" s="158"/>
      <c r="F60" s="159">
        <f t="shared" si="5"/>
        <v>0</v>
      </c>
      <c r="G60" s="156"/>
    </row>
    <row r="61" spans="1:8" ht="26.25" thickBot="1">
      <c r="A61" s="14" t="s">
        <v>17</v>
      </c>
      <c r="B61" s="214">
        <f>SUM(B57:B60)</f>
        <v>0</v>
      </c>
      <c r="C61" s="214">
        <f>SUM(C57:C60)</f>
        <v>0</v>
      </c>
      <c r="D61" s="214">
        <f>SUM(D57:D60)</f>
        <v>0</v>
      </c>
      <c r="E61" s="214">
        <f>SUM(E57:E60)</f>
        <v>0</v>
      </c>
      <c r="F61" s="214">
        <f>SUM(F57:F60)</f>
        <v>0</v>
      </c>
      <c r="G61" s="491"/>
    </row>
    <row r="62" spans="1:8" ht="26.25" thickBot="1">
      <c r="A62" s="175" t="s">
        <v>30</v>
      </c>
      <c r="B62" s="166"/>
      <c r="C62" s="167"/>
      <c r="D62" s="167"/>
      <c r="E62" s="167"/>
      <c r="F62" s="168"/>
      <c r="G62" s="156"/>
    </row>
    <row r="63" spans="1:8">
      <c r="A63" s="493" t="s">
        <v>74</v>
      </c>
      <c r="B63" s="211"/>
      <c r="C63" s="163"/>
      <c r="D63" s="163"/>
      <c r="E63" s="163"/>
      <c r="F63" s="174">
        <f t="shared" ref="F63:F76" si="6">SUM(B63:E63)</f>
        <v>0</v>
      </c>
      <c r="G63" s="156"/>
    </row>
    <row r="64" spans="1:8">
      <c r="A64" s="487" t="s">
        <v>11</v>
      </c>
      <c r="B64" s="210"/>
      <c r="C64" s="158"/>
      <c r="D64" s="158"/>
      <c r="E64" s="158"/>
      <c r="F64" s="159">
        <f t="shared" si="6"/>
        <v>0</v>
      </c>
      <c r="G64" s="156"/>
    </row>
    <row r="65" spans="1:7">
      <c r="A65" s="494" t="s">
        <v>12</v>
      </c>
      <c r="B65" s="212"/>
      <c r="C65" s="170"/>
      <c r="D65" s="170"/>
      <c r="E65" s="170"/>
      <c r="F65" s="173">
        <f t="shared" si="6"/>
        <v>0</v>
      </c>
      <c r="G65" s="156"/>
    </row>
    <row r="66" spans="1:7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6.25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6.25" thickBot="1">
      <c r="A69" s="175" t="s">
        <v>32</v>
      </c>
      <c r="B69" s="166"/>
      <c r="C69" s="167"/>
      <c r="D69" s="167"/>
      <c r="E69" s="167"/>
      <c r="F69" s="168"/>
      <c r="G69" s="156"/>
    </row>
    <row r="70" spans="1:7">
      <c r="A70" s="487" t="s">
        <v>14</v>
      </c>
      <c r="B70" s="211"/>
      <c r="C70" s="163"/>
      <c r="D70" s="163"/>
      <c r="E70" s="163"/>
      <c r="F70" s="174">
        <f t="shared" si="6"/>
        <v>0</v>
      </c>
      <c r="G70" s="156"/>
    </row>
    <row r="71" spans="1:7">
      <c r="A71" s="497" t="s">
        <v>120</v>
      </c>
      <c r="B71" s="210"/>
      <c r="C71" s="158"/>
      <c r="D71" s="158"/>
      <c r="E71" s="158"/>
      <c r="F71" s="159">
        <f t="shared" si="6"/>
        <v>0</v>
      </c>
      <c r="G71" s="156"/>
    </row>
    <row r="72" spans="1:7">
      <c r="A72" s="497" t="s">
        <v>121</v>
      </c>
      <c r="B72" s="210"/>
      <c r="C72" s="158"/>
      <c r="D72" s="158"/>
      <c r="E72" s="158"/>
      <c r="F72" s="159">
        <f t="shared" si="6"/>
        <v>0</v>
      </c>
      <c r="G72" s="156"/>
    </row>
    <row r="73" spans="1:7">
      <c r="A73" s="497" t="s">
        <v>119</v>
      </c>
      <c r="B73" s="210"/>
      <c r="C73" s="158"/>
      <c r="D73" s="158"/>
      <c r="E73" s="158"/>
      <c r="F73" s="159">
        <f t="shared" si="6"/>
        <v>0</v>
      </c>
      <c r="G73" s="156"/>
    </row>
    <row r="74" spans="1:7">
      <c r="A74" s="497" t="s">
        <v>118</v>
      </c>
      <c r="B74" s="210"/>
      <c r="C74" s="158"/>
      <c r="D74" s="158"/>
      <c r="E74" s="158"/>
      <c r="F74" s="159">
        <f t="shared" si="6"/>
        <v>0</v>
      </c>
      <c r="G74" s="156"/>
    </row>
    <row r="75" spans="1:7">
      <c r="A75" s="497" t="s">
        <v>59</v>
      </c>
      <c r="B75" s="210"/>
      <c r="C75" s="158"/>
      <c r="D75" s="158"/>
      <c r="E75" s="158"/>
      <c r="F75" s="159">
        <f t="shared" si="6"/>
        <v>0</v>
      </c>
      <c r="G75" s="156"/>
    </row>
    <row r="76" spans="1:7">
      <c r="A76" s="497" t="s">
        <v>116</v>
      </c>
      <c r="B76" s="210"/>
      <c r="C76" s="158"/>
      <c r="D76" s="158"/>
      <c r="E76" s="158"/>
      <c r="F76" s="159">
        <f t="shared" si="6"/>
        <v>0</v>
      </c>
      <c r="G76" s="156"/>
    </row>
    <row r="78" spans="1:7" ht="26.25" thickBot="1"/>
    <row r="79" spans="1:7" ht="26.25" thickBot="1">
      <c r="A79" s="660" t="s">
        <v>179</v>
      </c>
      <c r="B79" s="752" t="s">
        <v>172</v>
      </c>
      <c r="C79" s="753"/>
      <c r="D79" s="753"/>
      <c r="E79" s="753"/>
      <c r="F79" s="754"/>
    </row>
    <row r="80" spans="1:7" ht="26.25" thickBot="1">
      <c r="A80" s="500" t="s">
        <v>158</v>
      </c>
      <c r="B80" s="688" t="s">
        <v>157</v>
      </c>
      <c r="C80" s="688" t="s">
        <v>156</v>
      </c>
      <c r="D80" s="689" t="s">
        <v>180</v>
      </c>
      <c r="E80" s="690" t="s">
        <v>141</v>
      </c>
      <c r="F80" s="691" t="s">
        <v>181</v>
      </c>
    </row>
    <row r="81" spans="1:6">
      <c r="A81" s="368"/>
      <c r="B81" s="368"/>
      <c r="C81" s="512"/>
      <c r="D81" s="674"/>
      <c r="E81" s="679"/>
      <c r="F81" s="710"/>
    </row>
    <row r="82" spans="1:6">
      <c r="A82" s="366"/>
      <c r="B82" s="366"/>
      <c r="C82" s="507"/>
      <c r="D82" s="675"/>
      <c r="E82" s="654"/>
      <c r="F82" s="711"/>
    </row>
    <row r="83" spans="1:6">
      <c r="A83" s="366"/>
      <c r="B83" s="366"/>
      <c r="C83" s="507"/>
      <c r="D83" s="675"/>
      <c r="E83" s="654"/>
      <c r="F83" s="711"/>
    </row>
    <row r="84" spans="1:6">
      <c r="A84" s="366"/>
      <c r="B84" s="366"/>
      <c r="C84" s="507"/>
      <c r="D84" s="675"/>
      <c r="E84" s="654"/>
      <c r="F84" s="711"/>
    </row>
    <row r="85" spans="1:6">
      <c r="A85" s="366"/>
      <c r="B85" s="366"/>
      <c r="C85" s="507"/>
      <c r="D85" s="675"/>
      <c r="E85" s="654"/>
      <c r="F85" s="711"/>
    </row>
    <row r="86" spans="1:6">
      <c r="A86" s="366"/>
      <c r="B86" s="366"/>
      <c r="C86" s="507"/>
      <c r="D86" s="675"/>
      <c r="E86" s="654"/>
      <c r="F86" s="711"/>
    </row>
    <row r="87" spans="1:6">
      <c r="A87" s="366"/>
      <c r="B87" s="366"/>
      <c r="C87" s="507"/>
      <c r="D87" s="675"/>
      <c r="E87" s="654"/>
      <c r="F87" s="711"/>
    </row>
    <row r="88" spans="1:6">
      <c r="A88" s="366"/>
      <c r="B88" s="366"/>
      <c r="C88" s="507"/>
      <c r="D88" s="675"/>
      <c r="E88" s="654"/>
      <c r="F88" s="711"/>
    </row>
    <row r="89" spans="1:6" ht="26.25" thickBot="1">
      <c r="A89" s="712"/>
      <c r="B89" s="712"/>
      <c r="C89" s="513"/>
      <c r="D89" s="713"/>
      <c r="E89" s="714"/>
      <c r="F89" s="715"/>
    </row>
    <row r="90" spans="1:6" ht="26.25" thickBot="1">
      <c r="A90" s="748" t="s">
        <v>105</v>
      </c>
      <c r="B90" s="749"/>
      <c r="C90" s="696">
        <f>SUM(C81:C89)</f>
        <v>0</v>
      </c>
      <c r="D90" s="697">
        <f t="shared" ref="D90:F90" si="7">SUM(D81:D89)</f>
        <v>0</v>
      </c>
      <c r="E90" s="697">
        <f t="shared" si="7"/>
        <v>0</v>
      </c>
      <c r="F90" s="697">
        <f t="shared" si="7"/>
        <v>0</v>
      </c>
    </row>
    <row r="92" spans="1:6" ht="26.25" thickBot="1"/>
    <row r="93" spans="1:6" ht="26.25" thickBot="1">
      <c r="A93" s="660" t="s">
        <v>182</v>
      </c>
      <c r="B93" s="752" t="s">
        <v>172</v>
      </c>
      <c r="C93" s="753"/>
      <c r="D93" s="753"/>
      <c r="E93" s="753"/>
      <c r="F93" s="754"/>
    </row>
    <row r="94" spans="1:6" ht="26.25" thickBot="1">
      <c r="A94" s="500" t="s">
        <v>158</v>
      </c>
      <c r="B94" s="688" t="s">
        <v>157</v>
      </c>
      <c r="C94" s="688" t="s">
        <v>156</v>
      </c>
      <c r="D94" s="689" t="s">
        <v>180</v>
      </c>
      <c r="E94" s="690" t="s">
        <v>141</v>
      </c>
      <c r="F94" s="691" t="s">
        <v>181</v>
      </c>
    </row>
    <row r="95" spans="1:6">
      <c r="A95" s="368"/>
      <c r="B95" s="368"/>
      <c r="C95" s="512"/>
      <c r="D95" s="674"/>
      <c r="E95" s="679"/>
      <c r="F95" s="710"/>
    </row>
    <row r="96" spans="1:6">
      <c r="A96" s="366"/>
      <c r="B96" s="366"/>
      <c r="C96" s="507"/>
      <c r="D96" s="675"/>
      <c r="E96" s="654"/>
      <c r="F96" s="711"/>
    </row>
    <row r="97" spans="1:6">
      <c r="A97" s="366"/>
      <c r="B97" s="366"/>
      <c r="C97" s="507"/>
      <c r="D97" s="675"/>
      <c r="E97" s="654"/>
      <c r="F97" s="711"/>
    </row>
    <row r="98" spans="1:6">
      <c r="A98" s="366"/>
      <c r="B98" s="366"/>
      <c r="C98" s="507"/>
      <c r="D98" s="675"/>
      <c r="E98" s="654"/>
      <c r="F98" s="711"/>
    </row>
    <row r="99" spans="1:6">
      <c r="A99" s="366"/>
      <c r="B99" s="366"/>
      <c r="C99" s="507"/>
      <c r="D99" s="675"/>
      <c r="E99" s="654"/>
      <c r="F99" s="711"/>
    </row>
    <row r="100" spans="1:6">
      <c r="A100" s="366"/>
      <c r="B100" s="366"/>
      <c r="C100" s="507"/>
      <c r="D100" s="675"/>
      <c r="E100" s="654"/>
      <c r="F100" s="711"/>
    </row>
    <row r="101" spans="1:6">
      <c r="A101" s="366"/>
      <c r="B101" s="366"/>
      <c r="C101" s="507"/>
      <c r="D101" s="675"/>
      <c r="E101" s="654"/>
      <c r="F101" s="711"/>
    </row>
    <row r="102" spans="1:6">
      <c r="A102" s="366"/>
      <c r="B102" s="366"/>
      <c r="C102" s="507"/>
      <c r="D102" s="675"/>
      <c r="E102" s="654"/>
      <c r="F102" s="711"/>
    </row>
    <row r="103" spans="1:6" ht="26.25" thickBot="1">
      <c r="A103" s="712"/>
      <c r="B103" s="712"/>
      <c r="C103" s="513"/>
      <c r="D103" s="713"/>
      <c r="E103" s="714"/>
      <c r="F103" s="715"/>
    </row>
    <row r="104" spans="1:6" ht="26.25" thickBot="1">
      <c r="A104" s="748" t="s">
        <v>105</v>
      </c>
      <c r="B104" s="749"/>
      <c r="C104" s="696">
        <f>SUM(C95:C103)</f>
        <v>0</v>
      </c>
      <c r="D104" s="697">
        <f t="shared" ref="D104" si="8">SUM(D95:D103)</f>
        <v>0</v>
      </c>
      <c r="E104" s="697">
        <f t="shared" ref="E104" si="9">SUM(E95:E103)</f>
        <v>0</v>
      </c>
      <c r="F104" s="697">
        <f t="shared" ref="F104" si="10">SUM(F95:F103)</f>
        <v>0</v>
      </c>
    </row>
    <row r="106" spans="1:6" ht="26.25" thickBot="1"/>
    <row r="107" spans="1:6" ht="26.25" thickBot="1">
      <c r="A107" s="660" t="s">
        <v>186</v>
      </c>
    </row>
    <row r="108" spans="1:6" ht="26.25" thickBot="1">
      <c r="A108" s="500" t="s">
        <v>158</v>
      </c>
      <c r="B108" s="688" t="s">
        <v>157</v>
      </c>
      <c r="C108" s="688" t="s">
        <v>156</v>
      </c>
    </row>
    <row r="109" spans="1:6">
      <c r="A109" s="368"/>
      <c r="B109" s="368"/>
      <c r="C109" s="512"/>
    </row>
    <row r="110" spans="1:6">
      <c r="A110" s="366"/>
      <c r="B110" s="366"/>
      <c r="C110" s="507"/>
    </row>
    <row r="111" spans="1:6">
      <c r="A111" s="366"/>
      <c r="B111" s="366"/>
      <c r="C111" s="507"/>
    </row>
    <row r="112" spans="1:6">
      <c r="A112" s="366"/>
      <c r="B112" s="366"/>
      <c r="C112" s="507"/>
    </row>
    <row r="113" spans="1:3">
      <c r="A113" s="366"/>
      <c r="B113" s="366"/>
      <c r="C113" s="507"/>
    </row>
    <row r="114" spans="1:3">
      <c r="A114" s="366"/>
      <c r="B114" s="366"/>
      <c r="C114" s="507"/>
    </row>
    <row r="115" spans="1:3">
      <c r="A115" s="366"/>
      <c r="B115" s="366"/>
      <c r="C115" s="507"/>
    </row>
    <row r="116" spans="1:3">
      <c r="A116" s="366"/>
      <c r="B116" s="366"/>
      <c r="C116" s="507"/>
    </row>
    <row r="117" spans="1:3" ht="26.25" thickBot="1">
      <c r="A117" s="712"/>
      <c r="B117" s="712"/>
      <c r="C117" s="513"/>
    </row>
    <row r="118" spans="1:3" ht="26.25" thickBot="1">
      <c r="A118" s="748" t="s">
        <v>105</v>
      </c>
      <c r="B118" s="749"/>
      <c r="C118" s="696">
        <f>SUM(C109:C117)</f>
        <v>0</v>
      </c>
    </row>
  </sheetData>
  <mergeCells count="6">
    <mergeCell ref="A104:B104"/>
    <mergeCell ref="A118:B118"/>
    <mergeCell ref="H26:I26"/>
    <mergeCell ref="B79:F79"/>
    <mergeCell ref="A90:B90"/>
    <mergeCell ref="B93:F93"/>
  </mergeCells>
  <phoneticPr fontId="4" type="noConversion"/>
  <pageMargins left="0.75" right="0.75" top="1" bottom="1" header="0.5" footer="0.5"/>
  <pageSetup paperSize="9" scale="16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18"/>
  <sheetViews>
    <sheetView zoomScale="49" zoomScaleNormal="35" workbookViewId="0">
      <selection activeCell="D24" sqref="D24"/>
    </sheetView>
  </sheetViews>
  <sheetFormatPr defaultColWidth="28.42578125" defaultRowHeight="27.75" customHeight="1"/>
  <cols>
    <col min="1" max="1" width="55.42578125" style="105" customWidth="1"/>
    <col min="2" max="2" width="28.42578125" style="105"/>
    <col min="3" max="3" width="28.85546875" style="105" customWidth="1"/>
    <col min="4" max="4" width="48" style="105" customWidth="1"/>
    <col min="5" max="5" width="28.42578125" style="105"/>
    <col min="6" max="7" width="45.140625" style="105" customWidth="1"/>
    <col min="8" max="16384" width="28.42578125" style="105"/>
  </cols>
  <sheetData>
    <row r="1" spans="1:9" ht="72" customHeight="1" thickBot="1">
      <c r="A1" s="296" t="s">
        <v>173</v>
      </c>
      <c r="B1" s="111"/>
      <c r="C1" s="110"/>
      <c r="D1" s="107"/>
      <c r="E1" s="110"/>
      <c r="G1" s="430" t="s">
        <v>160</v>
      </c>
    </row>
    <row r="2" spans="1:9" ht="27.75" customHeight="1" thickBot="1">
      <c r="A2" s="298">
        <f>SUM('2nd'!A2+1)</f>
        <v>45872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7.75" customHeight="1">
      <c r="A3" s="299" t="s">
        <v>79</v>
      </c>
      <c r="B3" s="324"/>
      <c r="C3" s="269"/>
      <c r="D3" s="352"/>
      <c r="E3" s="423"/>
      <c r="F3" s="396">
        <f>D3-B3</f>
        <v>0</v>
      </c>
      <c r="G3" s="417">
        <f>E3-C3</f>
        <v>0</v>
      </c>
      <c r="H3" s="387"/>
      <c r="I3" s="512"/>
    </row>
    <row r="4" spans="1:9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7.7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7"/>
    </row>
    <row r="7" spans="1:9" ht="27.7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13"/>
    </row>
    <row r="8" spans="1:9" ht="27.75" customHeight="1">
      <c r="A8" s="333" t="s">
        <v>82</v>
      </c>
      <c r="B8" s="327">
        <v>510.1</v>
      </c>
      <c r="C8" s="152">
        <v>3018.2</v>
      </c>
      <c r="D8" s="355">
        <v>510.1</v>
      </c>
      <c r="E8" s="428">
        <v>3018.2</v>
      </c>
      <c r="F8" s="396">
        <f t="shared" si="1"/>
        <v>0</v>
      </c>
      <c r="G8" s="417">
        <f t="shared" si="2"/>
        <v>0</v>
      </c>
      <c r="H8" s="390"/>
      <c r="I8" s="514">
        <v>194.39</v>
      </c>
    </row>
    <row r="9" spans="1:9" ht="27.7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7"/>
    </row>
    <row r="10" spans="1:9" ht="27.7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7"/>
    </row>
    <row r="11" spans="1:9" ht="27.7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7"/>
    </row>
    <row r="12" spans="1:9" ht="27.7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7"/>
    </row>
    <row r="13" spans="1:9" ht="27.7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7"/>
    </row>
    <row r="14" spans="1:9" ht="27.75" customHeight="1">
      <c r="A14" s="283" t="s">
        <v>87</v>
      </c>
      <c r="B14" s="325">
        <v>98.8</v>
      </c>
      <c r="C14" s="109">
        <v>455.84</v>
      </c>
      <c r="D14" s="353">
        <v>98.8</v>
      </c>
      <c r="E14" s="424">
        <v>455.84</v>
      </c>
      <c r="F14" s="397">
        <f t="shared" si="1"/>
        <v>0</v>
      </c>
      <c r="G14" s="418">
        <f t="shared" si="2"/>
        <v>0</v>
      </c>
      <c r="H14" s="388"/>
      <c r="I14" s="507">
        <v>48.94</v>
      </c>
    </row>
    <row r="15" spans="1:9" ht="27.7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7"/>
    </row>
    <row r="16" spans="1:9" ht="27.75" customHeight="1">
      <c r="A16" s="283" t="s">
        <v>107</v>
      </c>
      <c r="B16" s="325">
        <v>484.1</v>
      </c>
      <c r="C16" s="109">
        <v>2499.4899999999998</v>
      </c>
      <c r="D16" s="353">
        <v>484.1</v>
      </c>
      <c r="E16" s="424">
        <v>2499.1489999999999</v>
      </c>
      <c r="F16" s="397">
        <f t="shared" si="1"/>
        <v>0</v>
      </c>
      <c r="G16" s="418">
        <f t="shared" si="2"/>
        <v>-0.3409999999998945</v>
      </c>
      <c r="H16" s="388"/>
      <c r="I16" s="507">
        <v>189.65</v>
      </c>
    </row>
    <row r="17" spans="1:9" ht="27.7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5"/>
    </row>
    <row r="18" spans="1:9" ht="27.75" customHeight="1" thickBot="1">
      <c r="A18" s="284" t="s">
        <v>151</v>
      </c>
      <c r="B18" s="359">
        <f>SUM(B8:B17)</f>
        <v>1093</v>
      </c>
      <c r="C18" s="359">
        <f t="shared" ref="C18:H18" si="3">SUM(C8:C17)</f>
        <v>5973.53</v>
      </c>
      <c r="D18" s="359">
        <f t="shared" si="3"/>
        <v>1093</v>
      </c>
      <c r="E18" s="359">
        <f t="shared" si="3"/>
        <v>5973.1890000000003</v>
      </c>
      <c r="F18" s="359">
        <f t="shared" si="3"/>
        <v>0</v>
      </c>
      <c r="G18" s="359">
        <f t="shared" si="3"/>
        <v>-0.3409999999998945</v>
      </c>
      <c r="H18" s="359">
        <f t="shared" si="3"/>
        <v>0</v>
      </c>
      <c r="I18" s="359">
        <f>SUM(I8:I17)</f>
        <v>432.98</v>
      </c>
    </row>
    <row r="19" spans="1:9" ht="27.7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8">
        <f>(D19+E19+H19)*0.95/11</f>
        <v>0</v>
      </c>
    </row>
    <row r="20" spans="1:9" ht="27.7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12"/>
    </row>
    <row r="21" spans="1:9" ht="27.7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7"/>
    </row>
    <row r="22" spans="1:9" ht="27.7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13"/>
    </row>
    <row r="23" spans="1:9" ht="27.75" customHeight="1" thickBot="1">
      <c r="A23" s="336" t="s">
        <v>0</v>
      </c>
      <c r="B23" s="291">
        <f>SUM(B3+B4+B5+B6+B7+B18+B19+B22)</f>
        <v>1093</v>
      </c>
      <c r="C23" s="290">
        <f>SUM(C3+C4+C5+C6+C7+C18+C19+C20+C21+C22)</f>
        <v>5973.53</v>
      </c>
      <c r="D23" s="290">
        <f>SUM(D3+D4+D5+D6+D7+D18+D19+D20+D21+D22)-274.3-535-165-28-90.7</f>
        <v>0</v>
      </c>
      <c r="E23" s="290">
        <f>SUM(E3+E4+E5+E6+E7+E18+E19+E20+E21+E22)</f>
        <v>5973.1890000000003</v>
      </c>
      <c r="F23" s="290">
        <f>SUM(F3+F4+F5+F6+F7+F18+F19+F20+F21+F22)</f>
        <v>0</v>
      </c>
      <c r="G23" s="290">
        <f>SUM(G3+G4+G5+G6+G7+G18+G19+G20+G21+G22)</f>
        <v>-0.3409999999998945</v>
      </c>
      <c r="H23" s="290">
        <f t="shared" ref="H23" si="4">SUM(H3+H4+H5+H6+H7+H18+H19+H20+H21+H22)</f>
        <v>0</v>
      </c>
      <c r="I23" s="290">
        <f>SUM(I3+I4+I5+I6+I7+I18+I19+I20+I21+I22)</f>
        <v>432.98</v>
      </c>
    </row>
    <row r="24" spans="1:9" ht="27.75" customHeight="1" thickBot="1">
      <c r="A24" s="105" t="s">
        <v>180</v>
      </c>
      <c r="B24" s="107"/>
      <c r="E24" s="295"/>
    </row>
    <row r="25" spans="1:9" ht="27.7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G25" s="453" t="s">
        <v>167</v>
      </c>
      <c r="H25" s="518"/>
    </row>
    <row r="26" spans="1:9" ht="30.75" customHeight="1" thickBot="1">
      <c r="A26" s="467" t="s">
        <v>195</v>
      </c>
      <c r="B26" s="464"/>
      <c r="C26" s="105">
        <v>274.3</v>
      </c>
      <c r="E26" s="440" t="s">
        <v>166</v>
      </c>
      <c r="F26" s="445"/>
      <c r="G26" s="451" t="s">
        <v>161</v>
      </c>
      <c r="H26" s="448"/>
    </row>
    <row r="27" spans="1:9" ht="35.25" customHeight="1" thickBot="1">
      <c r="A27" s="468" t="s">
        <v>196</v>
      </c>
      <c r="B27" s="465"/>
      <c r="C27" s="105">
        <v>534</v>
      </c>
      <c r="E27" s="441" t="s">
        <v>164</v>
      </c>
      <c r="F27" s="403"/>
      <c r="G27" s="442" t="s">
        <v>162</v>
      </c>
      <c r="H27" s="433" t="s">
        <v>163</v>
      </c>
    </row>
    <row r="28" spans="1:9" ht="27.75" customHeight="1" thickBot="1">
      <c r="A28" s="468" t="s">
        <v>197</v>
      </c>
      <c r="B28" s="465"/>
      <c r="C28" s="106">
        <v>164.3</v>
      </c>
    </row>
    <row r="29" spans="1:9" ht="27.75" customHeight="1" thickBot="1">
      <c r="A29" s="468" t="s">
        <v>198</v>
      </c>
      <c r="B29" s="465"/>
      <c r="C29" s="160">
        <v>27.9</v>
      </c>
      <c r="D29" s="108"/>
      <c r="H29" s="460" t="s">
        <v>168</v>
      </c>
      <c r="I29" s="461">
        <f>SUM(B23+C23+G23+F23+H23-I23)</f>
        <v>6633.2090000000007</v>
      </c>
    </row>
    <row r="30" spans="1:9" ht="27.75" customHeight="1" thickBot="1">
      <c r="A30" s="468" t="s">
        <v>203</v>
      </c>
      <c r="B30" s="465"/>
      <c r="C30" s="157">
        <v>90.7</v>
      </c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SUM(D23+'2nd'!I30-'3rd'!H25)</f>
        <v>-9.9999999997635314E-3</v>
      </c>
    </row>
    <row r="31" spans="1:9" ht="27.7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7.7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7.7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7.7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7.7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7.7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7.7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7.7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7.7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7.7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7.7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7.75" customHeight="1">
      <c r="C42" s="157"/>
      <c r="D42" s="309" t="s">
        <v>87</v>
      </c>
      <c r="E42" s="525"/>
      <c r="F42" s="277"/>
      <c r="G42" s="106"/>
    </row>
    <row r="43" spans="1:7" ht="27.75" customHeight="1">
      <c r="C43" s="157"/>
      <c r="D43" s="309" t="s">
        <v>88</v>
      </c>
      <c r="E43" s="525"/>
      <c r="F43" s="277"/>
      <c r="G43" s="106"/>
    </row>
    <row r="44" spans="1:7" ht="27.75" customHeight="1">
      <c r="C44" s="157"/>
      <c r="D44" s="309" t="s">
        <v>107</v>
      </c>
      <c r="E44" s="525"/>
      <c r="F44" s="277"/>
      <c r="G44" s="106"/>
    </row>
    <row r="45" spans="1:7" ht="27.7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7.7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7.7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</row>
    <row r="49" spans="1:7" ht="27.75" customHeight="1">
      <c r="A49" s="487" t="s">
        <v>2</v>
      </c>
      <c r="B49" s="211"/>
      <c r="C49" s="163"/>
      <c r="D49" s="163"/>
      <c r="E49" s="163"/>
      <c r="F49" s="174">
        <f>SUM(B49:E49)</f>
        <v>0</v>
      </c>
      <c r="G49" s="156"/>
    </row>
    <row r="50" spans="1:7" ht="27.75" customHeight="1">
      <c r="A50" s="488" t="s">
        <v>3</v>
      </c>
      <c r="B50" s="210"/>
      <c r="C50" s="158"/>
      <c r="D50" s="158"/>
      <c r="E50" s="158"/>
      <c r="F50" s="159">
        <f t="shared" ref="F50:F60" si="5">SUM(B50:E50)</f>
        <v>0</v>
      </c>
      <c r="G50" s="156"/>
    </row>
    <row r="51" spans="1:7" ht="27.75" customHeight="1">
      <c r="A51" s="488" t="s">
        <v>4</v>
      </c>
      <c r="B51" s="210"/>
      <c r="C51" s="158"/>
      <c r="D51" s="158"/>
      <c r="E51" s="158"/>
      <c r="F51" s="159">
        <f t="shared" si="5"/>
        <v>0</v>
      </c>
      <c r="G51" s="156"/>
    </row>
    <row r="52" spans="1:7" ht="27.75" customHeight="1">
      <c r="A52" s="488" t="s">
        <v>5</v>
      </c>
      <c r="B52" s="210"/>
      <c r="C52" s="158"/>
      <c r="D52" s="158"/>
      <c r="E52" s="158"/>
      <c r="F52" s="159">
        <f t="shared" si="5"/>
        <v>0</v>
      </c>
      <c r="G52" s="156"/>
    </row>
    <row r="53" spans="1:7" ht="27.75" customHeight="1">
      <c r="A53" s="488" t="s">
        <v>115</v>
      </c>
      <c r="B53" s="210"/>
      <c r="C53" s="158"/>
      <c r="D53" s="158"/>
      <c r="E53" s="158"/>
      <c r="F53" s="159">
        <f t="shared" si="5"/>
        <v>0</v>
      </c>
      <c r="G53" s="156"/>
    </row>
    <row r="54" spans="1:7" ht="27.7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7.75" customHeight="1" thickBot="1">
      <c r="A55" s="10" t="s">
        <v>16</v>
      </c>
      <c r="B55" s="214">
        <f>SUM(B49:B54)</f>
        <v>0</v>
      </c>
      <c r="C55" s="214">
        <f>SUM(C49:C54)</f>
        <v>0</v>
      </c>
      <c r="D55" s="214">
        <f>SUM(D49:D54)</f>
        <v>0</v>
      </c>
      <c r="E55" s="214">
        <f>SUM(E49:E54)</f>
        <v>0</v>
      </c>
      <c r="F55" s="177">
        <f t="shared" si="5"/>
        <v>0</v>
      </c>
      <c r="G55" s="156"/>
    </row>
    <row r="56" spans="1:7" ht="27.7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7.75" customHeight="1">
      <c r="A57" s="487" t="s">
        <v>7</v>
      </c>
      <c r="B57" s="211"/>
      <c r="C57" s="163"/>
      <c r="D57" s="163"/>
      <c r="E57" s="163"/>
      <c r="F57" s="174">
        <f t="shared" si="5"/>
        <v>0</v>
      </c>
      <c r="G57" s="156"/>
    </row>
    <row r="58" spans="1:7" ht="27.75" customHeight="1">
      <c r="A58" s="488" t="s">
        <v>8</v>
      </c>
      <c r="B58" s="210"/>
      <c r="C58" s="158"/>
      <c r="D58" s="158"/>
      <c r="E58" s="158"/>
      <c r="F58" s="159">
        <f t="shared" si="5"/>
        <v>0</v>
      </c>
      <c r="G58" s="156"/>
    </row>
    <row r="59" spans="1:7" ht="27.75" customHeight="1">
      <c r="A59" s="488" t="s">
        <v>9</v>
      </c>
      <c r="B59" s="210"/>
      <c r="C59" s="158"/>
      <c r="D59" s="158"/>
      <c r="E59" s="158"/>
      <c r="F59" s="159">
        <f t="shared" si="5"/>
        <v>0</v>
      </c>
      <c r="G59" s="156"/>
    </row>
    <row r="60" spans="1:7" ht="27.7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7.75" customHeight="1" thickBot="1">
      <c r="A61" s="14" t="s">
        <v>17</v>
      </c>
      <c r="B61" s="214">
        <f>SUM(B57:B60)</f>
        <v>0</v>
      </c>
      <c r="C61" s="214">
        <f>SUM(C57:C60)</f>
        <v>0</v>
      </c>
      <c r="D61" s="214">
        <f>SUM(D57:D60)</f>
        <v>0</v>
      </c>
      <c r="E61" s="214">
        <f>SUM(E57:E60)</f>
        <v>0</v>
      </c>
      <c r="F61" s="214">
        <f>SUM(F57:F60)</f>
        <v>0</v>
      </c>
      <c r="G61" s="491"/>
    </row>
    <row r="62" spans="1:7" ht="27.7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7.75" customHeight="1">
      <c r="A63" s="493" t="s">
        <v>74</v>
      </c>
      <c r="B63" s="211"/>
      <c r="C63" s="163"/>
      <c r="D63" s="163"/>
      <c r="E63" s="163"/>
      <c r="F63" s="174">
        <f t="shared" ref="F63:F76" si="6">SUM(B63:E63)</f>
        <v>0</v>
      </c>
      <c r="G63" s="156"/>
    </row>
    <row r="64" spans="1:7" ht="27.75" customHeight="1">
      <c r="A64" s="487" t="s">
        <v>11</v>
      </c>
      <c r="B64" s="210"/>
      <c r="C64" s="158"/>
      <c r="D64" s="158"/>
      <c r="E64" s="158"/>
      <c r="F64" s="159">
        <f t="shared" si="6"/>
        <v>0</v>
      </c>
      <c r="G64" s="156"/>
    </row>
    <row r="65" spans="1:7" ht="27.75" customHeight="1">
      <c r="A65" s="494" t="s">
        <v>12</v>
      </c>
      <c r="B65" s="212"/>
      <c r="C65" s="170"/>
      <c r="D65" s="170"/>
      <c r="E65" s="170"/>
      <c r="F65" s="173">
        <f t="shared" si="6"/>
        <v>0</v>
      </c>
      <c r="G65" s="156"/>
    </row>
    <row r="66" spans="1:7" ht="27.75" customHeight="1">
      <c r="A66" s="178" t="s">
        <v>18</v>
      </c>
      <c r="B66" s="213"/>
      <c r="C66" s="155"/>
      <c r="D66" s="155"/>
      <c r="E66" s="155"/>
      <c r="F66" s="155">
        <f t="shared" si="6"/>
        <v>0</v>
      </c>
      <c r="G66" s="156"/>
    </row>
    <row r="67" spans="1:7" ht="27.75" customHeight="1">
      <c r="A67" s="487" t="s">
        <v>13</v>
      </c>
      <c r="B67" s="211"/>
      <c r="C67" s="163"/>
      <c r="D67" s="163"/>
      <c r="E67" s="163"/>
      <c r="F67" s="174">
        <f>SUM(B67:E67)</f>
        <v>0</v>
      </c>
      <c r="G67" s="156"/>
    </row>
    <row r="68" spans="1:7" ht="27.75" customHeight="1" thickBot="1">
      <c r="A68" s="10"/>
      <c r="B68" s="212"/>
      <c r="C68" s="170"/>
      <c r="D68" s="170"/>
      <c r="E68" s="170"/>
      <c r="F68" s="173">
        <f t="shared" si="6"/>
        <v>0</v>
      </c>
      <c r="G68" s="156"/>
    </row>
    <row r="69" spans="1:7" ht="27.75" customHeight="1" thickBot="1">
      <c r="A69" s="175" t="s">
        <v>32</v>
      </c>
      <c r="B69" s="215"/>
      <c r="C69" s="167"/>
      <c r="D69" s="167"/>
      <c r="E69" s="167"/>
      <c r="F69" s="168"/>
      <c r="G69" s="156"/>
    </row>
    <row r="70" spans="1:7" ht="27.75" customHeight="1">
      <c r="A70" s="487" t="s">
        <v>14</v>
      </c>
      <c r="B70" s="211"/>
      <c r="C70" s="163"/>
      <c r="D70" s="163"/>
      <c r="E70" s="163"/>
      <c r="F70" s="174">
        <f t="shared" si="6"/>
        <v>0</v>
      </c>
      <c r="G70" s="156"/>
    </row>
    <row r="71" spans="1:7" ht="27.75" customHeight="1">
      <c r="A71" s="497" t="s">
        <v>120</v>
      </c>
      <c r="B71" s="210"/>
      <c r="C71" s="158"/>
      <c r="D71" s="158"/>
      <c r="E71" s="158"/>
      <c r="F71" s="159">
        <f t="shared" si="6"/>
        <v>0</v>
      </c>
      <c r="G71" s="156"/>
    </row>
    <row r="72" spans="1:7" ht="27.75" customHeight="1">
      <c r="A72" s="497" t="s">
        <v>121</v>
      </c>
      <c r="B72" s="210"/>
      <c r="C72" s="158"/>
      <c r="D72" s="158"/>
      <c r="E72" s="158"/>
      <c r="F72" s="159">
        <f t="shared" si="6"/>
        <v>0</v>
      </c>
      <c r="G72" s="156"/>
    </row>
    <row r="73" spans="1:7" ht="27.75" customHeight="1">
      <c r="A73" s="497" t="s">
        <v>119</v>
      </c>
      <c r="B73" s="210"/>
      <c r="C73" s="158"/>
      <c r="D73" s="158"/>
      <c r="E73" s="158"/>
      <c r="F73" s="159">
        <f t="shared" si="6"/>
        <v>0</v>
      </c>
      <c r="G73" s="156"/>
    </row>
    <row r="74" spans="1:7" ht="27.75" customHeight="1">
      <c r="A74" s="497" t="s">
        <v>118</v>
      </c>
      <c r="B74" s="210"/>
      <c r="C74" s="158"/>
      <c r="D74" s="158"/>
      <c r="E74" s="158"/>
      <c r="F74" s="159">
        <f t="shared" si="6"/>
        <v>0</v>
      </c>
      <c r="G74" s="156"/>
    </row>
    <row r="75" spans="1:7" ht="27.75" customHeight="1">
      <c r="A75" s="497" t="s">
        <v>59</v>
      </c>
      <c r="B75" s="210"/>
      <c r="C75" s="158"/>
      <c r="D75" s="158"/>
      <c r="E75" s="158"/>
      <c r="F75" s="159">
        <f t="shared" si="6"/>
        <v>0</v>
      </c>
      <c r="G75" s="156"/>
    </row>
    <row r="76" spans="1:7" ht="27.75" customHeight="1">
      <c r="A76" s="497" t="s">
        <v>116</v>
      </c>
      <c r="B76" s="210"/>
      <c r="C76" s="158"/>
      <c r="D76" s="158"/>
      <c r="E76" s="158"/>
      <c r="F76" s="159">
        <f t="shared" si="6"/>
        <v>0</v>
      </c>
      <c r="G76" s="156"/>
    </row>
    <row r="78" spans="1:7" ht="27.75" customHeight="1" thickBot="1"/>
    <row r="79" spans="1:7" ht="27.75" customHeight="1" thickBot="1">
      <c r="A79" s="660" t="s">
        <v>179</v>
      </c>
      <c r="B79" s="752" t="s">
        <v>172</v>
      </c>
      <c r="C79" s="753"/>
      <c r="D79" s="753"/>
      <c r="E79" s="753"/>
      <c r="F79" s="754"/>
    </row>
    <row r="80" spans="1:7" ht="27.75" customHeight="1" thickBot="1">
      <c r="A80" s="500" t="s">
        <v>158</v>
      </c>
      <c r="B80" s="688" t="s">
        <v>157</v>
      </c>
      <c r="C80" s="688" t="s">
        <v>156</v>
      </c>
      <c r="D80" s="689" t="s">
        <v>180</v>
      </c>
      <c r="E80" s="690" t="s">
        <v>141</v>
      </c>
      <c r="F80" s="691" t="s">
        <v>181</v>
      </c>
    </row>
    <row r="81" spans="1:6" ht="27.75" customHeight="1">
      <c r="A81" s="368"/>
      <c r="B81" s="368"/>
      <c r="C81" s="512"/>
      <c r="D81" s="674"/>
      <c r="E81" s="679"/>
      <c r="F81" s="710"/>
    </row>
    <row r="82" spans="1:6" ht="27.75" customHeight="1">
      <c r="A82" s="366"/>
      <c r="B82" s="366"/>
      <c r="C82" s="507"/>
      <c r="D82" s="675"/>
      <c r="E82" s="654"/>
      <c r="F82" s="711"/>
    </row>
    <row r="83" spans="1:6" ht="27.75" customHeight="1">
      <c r="A83" s="366"/>
      <c r="B83" s="366"/>
      <c r="C83" s="507"/>
      <c r="D83" s="675"/>
      <c r="E83" s="654"/>
      <c r="F83" s="711"/>
    </row>
    <row r="84" spans="1:6" ht="27.75" customHeight="1">
      <c r="A84" s="366"/>
      <c r="B84" s="366"/>
      <c r="C84" s="507"/>
      <c r="D84" s="675"/>
      <c r="E84" s="654"/>
      <c r="F84" s="711"/>
    </row>
    <row r="85" spans="1:6" ht="27.75" customHeight="1">
      <c r="A85" s="366"/>
      <c r="B85" s="366"/>
      <c r="C85" s="507"/>
      <c r="D85" s="675"/>
      <c r="E85" s="654"/>
      <c r="F85" s="711"/>
    </row>
    <row r="86" spans="1:6" ht="27.75" customHeight="1">
      <c r="A86" s="366"/>
      <c r="B86" s="366"/>
      <c r="C86" s="507"/>
      <c r="D86" s="675"/>
      <c r="E86" s="654"/>
      <c r="F86" s="711"/>
    </row>
    <row r="87" spans="1:6" ht="27.75" customHeight="1">
      <c r="A87" s="366"/>
      <c r="B87" s="366"/>
      <c r="C87" s="507"/>
      <c r="D87" s="675"/>
      <c r="E87" s="654"/>
      <c r="F87" s="711"/>
    </row>
    <row r="88" spans="1:6" ht="27.75" customHeight="1">
      <c r="A88" s="366"/>
      <c r="B88" s="366"/>
      <c r="C88" s="507"/>
      <c r="D88" s="675"/>
      <c r="E88" s="654"/>
      <c r="F88" s="711"/>
    </row>
    <row r="89" spans="1:6" ht="27.75" customHeight="1" thickBot="1">
      <c r="A89" s="712"/>
      <c r="B89" s="712"/>
      <c r="C89" s="513"/>
      <c r="D89" s="713"/>
      <c r="E89" s="714"/>
      <c r="F89" s="715"/>
    </row>
    <row r="90" spans="1:6" ht="27.75" customHeight="1" thickBot="1">
      <c r="A90" s="748" t="s">
        <v>105</v>
      </c>
      <c r="B90" s="749"/>
      <c r="C90" s="696">
        <f>SUM(C81:C89)</f>
        <v>0</v>
      </c>
      <c r="D90" s="697">
        <f t="shared" ref="D90:F90" si="7">SUM(D81:D89)</f>
        <v>0</v>
      </c>
      <c r="E90" s="697">
        <f t="shared" si="7"/>
        <v>0</v>
      </c>
      <c r="F90" s="697">
        <f t="shared" si="7"/>
        <v>0</v>
      </c>
    </row>
    <row r="92" spans="1:6" ht="27.75" customHeight="1" thickBot="1"/>
    <row r="93" spans="1:6" ht="27.75" customHeight="1" thickBot="1">
      <c r="A93" s="660" t="s">
        <v>182</v>
      </c>
      <c r="B93" s="752" t="s">
        <v>172</v>
      </c>
      <c r="C93" s="753"/>
      <c r="D93" s="753"/>
      <c r="E93" s="753"/>
      <c r="F93" s="754"/>
    </row>
    <row r="94" spans="1:6" ht="27.75" customHeight="1" thickBot="1">
      <c r="A94" s="500" t="s">
        <v>158</v>
      </c>
      <c r="B94" s="688" t="s">
        <v>157</v>
      </c>
      <c r="C94" s="688" t="s">
        <v>156</v>
      </c>
      <c r="D94" s="689" t="s">
        <v>180</v>
      </c>
      <c r="E94" s="690" t="s">
        <v>141</v>
      </c>
      <c r="F94" s="691" t="s">
        <v>181</v>
      </c>
    </row>
    <row r="95" spans="1:6" ht="27.75" customHeight="1">
      <c r="A95" s="368"/>
      <c r="B95" s="368"/>
      <c r="C95" s="512"/>
      <c r="D95" s="674"/>
      <c r="E95" s="679"/>
      <c r="F95" s="710"/>
    </row>
    <row r="96" spans="1:6" ht="27.75" customHeight="1">
      <c r="A96" s="366"/>
      <c r="B96" s="366"/>
      <c r="C96" s="507"/>
      <c r="D96" s="675"/>
      <c r="E96" s="654"/>
      <c r="F96" s="711"/>
    </row>
    <row r="97" spans="1:6" ht="27.75" customHeight="1">
      <c r="A97" s="366"/>
      <c r="B97" s="366"/>
      <c r="C97" s="507"/>
      <c r="D97" s="675"/>
      <c r="E97" s="654"/>
      <c r="F97" s="711"/>
    </row>
    <row r="98" spans="1:6" ht="27.75" customHeight="1">
      <c r="A98" s="366"/>
      <c r="B98" s="366"/>
      <c r="C98" s="507"/>
      <c r="D98" s="675"/>
      <c r="E98" s="654"/>
      <c r="F98" s="711"/>
    </row>
    <row r="99" spans="1:6" ht="27.75" customHeight="1">
      <c r="A99" s="366"/>
      <c r="B99" s="366"/>
      <c r="C99" s="507"/>
      <c r="D99" s="675"/>
      <c r="E99" s="654"/>
      <c r="F99" s="711"/>
    </row>
    <row r="100" spans="1:6" ht="27.75" customHeight="1">
      <c r="A100" s="366"/>
      <c r="B100" s="366"/>
      <c r="C100" s="507"/>
      <c r="D100" s="675"/>
      <c r="E100" s="654"/>
      <c r="F100" s="711"/>
    </row>
    <row r="101" spans="1:6" ht="27.75" customHeight="1">
      <c r="A101" s="366"/>
      <c r="B101" s="366"/>
      <c r="C101" s="507"/>
      <c r="D101" s="675"/>
      <c r="E101" s="654"/>
      <c r="F101" s="711"/>
    </row>
    <row r="102" spans="1:6" ht="27.75" customHeight="1">
      <c r="A102" s="366"/>
      <c r="B102" s="366"/>
      <c r="C102" s="507"/>
      <c r="D102" s="675"/>
      <c r="E102" s="654"/>
      <c r="F102" s="711"/>
    </row>
    <row r="103" spans="1:6" ht="27.75" customHeight="1" thickBot="1">
      <c r="A103" s="712"/>
      <c r="B103" s="712"/>
      <c r="C103" s="513"/>
      <c r="D103" s="713"/>
      <c r="E103" s="714"/>
      <c r="F103" s="715"/>
    </row>
    <row r="104" spans="1:6" ht="27.75" customHeight="1" thickBot="1">
      <c r="A104" s="748" t="s">
        <v>105</v>
      </c>
      <c r="B104" s="749"/>
      <c r="C104" s="696">
        <f>SUM(C95:C103)</f>
        <v>0</v>
      </c>
      <c r="D104" s="697">
        <f t="shared" ref="D104" si="8">SUM(D95:D103)</f>
        <v>0</v>
      </c>
      <c r="E104" s="697">
        <f t="shared" ref="E104" si="9">SUM(E95:E103)</f>
        <v>0</v>
      </c>
      <c r="F104" s="697">
        <f t="shared" ref="F104" si="10">SUM(F95:F103)</f>
        <v>0</v>
      </c>
    </row>
    <row r="106" spans="1:6" ht="27.75" customHeight="1" thickBot="1"/>
    <row r="107" spans="1:6" ht="27.75" customHeight="1" thickBot="1">
      <c r="A107" s="660" t="s">
        <v>186</v>
      </c>
    </row>
    <row r="108" spans="1:6" ht="27.75" customHeight="1" thickBot="1">
      <c r="A108" s="500" t="s">
        <v>158</v>
      </c>
      <c r="B108" s="688" t="s">
        <v>157</v>
      </c>
      <c r="C108" s="688" t="s">
        <v>156</v>
      </c>
    </row>
    <row r="109" spans="1:6" ht="27.75" customHeight="1">
      <c r="A109" s="368"/>
      <c r="B109" s="368"/>
      <c r="C109" s="512"/>
    </row>
    <row r="110" spans="1:6" ht="27.75" customHeight="1">
      <c r="A110" s="366"/>
      <c r="B110" s="366"/>
      <c r="C110" s="507"/>
    </row>
    <row r="111" spans="1:6" ht="27.75" customHeight="1">
      <c r="A111" s="366"/>
      <c r="B111" s="366"/>
      <c r="C111" s="507"/>
    </row>
    <row r="112" spans="1:6" ht="27.75" customHeight="1">
      <c r="A112" s="366"/>
      <c r="B112" s="366"/>
      <c r="C112" s="507"/>
    </row>
    <row r="113" spans="1:3" ht="27.75" customHeight="1">
      <c r="A113" s="366"/>
      <c r="B113" s="366"/>
      <c r="C113" s="507"/>
    </row>
    <row r="114" spans="1:3" ht="27.75" customHeight="1">
      <c r="A114" s="366"/>
      <c r="B114" s="366"/>
      <c r="C114" s="507"/>
    </row>
    <row r="115" spans="1:3" ht="27.75" customHeight="1">
      <c r="A115" s="366"/>
      <c r="B115" s="366"/>
      <c r="C115" s="507"/>
    </row>
    <row r="116" spans="1:3" ht="27.75" customHeight="1">
      <c r="A116" s="366"/>
      <c r="B116" s="366"/>
      <c r="C116" s="507"/>
    </row>
    <row r="117" spans="1:3" ht="27.75" customHeight="1" thickBot="1">
      <c r="A117" s="712"/>
      <c r="B117" s="712"/>
      <c r="C117" s="513"/>
    </row>
    <row r="118" spans="1:3" ht="27.75" customHeight="1" thickBot="1">
      <c r="A118" s="748" t="s">
        <v>105</v>
      </c>
      <c r="B118" s="749"/>
      <c r="C118" s="696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18"/>
  <sheetViews>
    <sheetView zoomScale="51" zoomScaleNormal="30" workbookViewId="0">
      <selection activeCell="D28" sqref="D28"/>
    </sheetView>
  </sheetViews>
  <sheetFormatPr defaultColWidth="28.42578125" defaultRowHeight="25.5" customHeight="1"/>
  <cols>
    <col min="1" max="1" width="36.5703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SUM('3rd'!A2+1)</f>
        <v>45873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>
        <v>86.6</v>
      </c>
      <c r="C3" s="269">
        <v>541.39</v>
      </c>
      <c r="D3" s="352">
        <v>86.6</v>
      </c>
      <c r="E3" s="423">
        <v>541.39</v>
      </c>
      <c r="F3" s="396">
        <f>D3-B3</f>
        <v>0</v>
      </c>
      <c r="G3" s="417">
        <f>E3-C3</f>
        <v>0</v>
      </c>
      <c r="H3" s="387"/>
      <c r="I3" s="506">
        <v>44.25</v>
      </c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2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>
        <v>242.5</v>
      </c>
      <c r="C5" s="109">
        <v>2504.69</v>
      </c>
      <c r="D5" s="353">
        <v>242.5</v>
      </c>
      <c r="E5" s="424">
        <v>2504.69</v>
      </c>
      <c r="F5" s="397">
        <f t="shared" si="1"/>
        <v>0</v>
      </c>
      <c r="G5" s="418">
        <f t="shared" si="2"/>
        <v>0</v>
      </c>
      <c r="H5" s="388"/>
      <c r="I5" s="507">
        <v>197.18</v>
      </c>
    </row>
    <row r="6" spans="1:9" ht="25.5" customHeight="1">
      <c r="A6" s="300" t="s">
        <v>78</v>
      </c>
      <c r="B6" s="325">
        <v>169.5</v>
      </c>
      <c r="C6" s="109">
        <v>922.14</v>
      </c>
      <c r="D6" s="353">
        <v>169.5</v>
      </c>
      <c r="E6" s="424">
        <v>922.14</v>
      </c>
      <c r="F6" s="397">
        <f t="shared" si="1"/>
        <v>0</v>
      </c>
      <c r="G6" s="418">
        <f t="shared" si="2"/>
        <v>0</v>
      </c>
      <c r="H6" s="388"/>
      <c r="I6" s="508">
        <v>82.42</v>
      </c>
    </row>
    <row r="7" spans="1:9" ht="25.5" customHeight="1" thickBot="1">
      <c r="A7" s="741" t="s">
        <v>143</v>
      </c>
      <c r="B7" s="326">
        <v>141.9</v>
      </c>
      <c r="C7" s="270">
        <v>923.6</v>
      </c>
      <c r="D7" s="354">
        <v>141.9</v>
      </c>
      <c r="E7" s="425">
        <v>923.6</v>
      </c>
      <c r="F7" s="400">
        <f t="shared" si="1"/>
        <v>0</v>
      </c>
      <c r="G7" s="419">
        <f t="shared" si="2"/>
        <v>0</v>
      </c>
      <c r="H7" s="389"/>
      <c r="I7" s="509">
        <v>73.28</v>
      </c>
    </row>
    <row r="8" spans="1:9" ht="25.5" customHeight="1">
      <c r="A8" s="333" t="s">
        <v>82</v>
      </c>
      <c r="B8" s="327">
        <v>752.5</v>
      </c>
      <c r="C8" s="152">
        <v>3913.83</v>
      </c>
      <c r="D8" s="355">
        <v>752.5</v>
      </c>
      <c r="E8" s="428">
        <v>3913.83</v>
      </c>
      <c r="F8" s="396">
        <f t="shared" si="1"/>
        <v>0</v>
      </c>
      <c r="G8" s="417">
        <f t="shared" si="2"/>
        <v>0</v>
      </c>
      <c r="H8" s="390"/>
      <c r="I8" s="510">
        <v>273.75</v>
      </c>
    </row>
    <row r="9" spans="1:9" ht="25.5" customHeight="1">
      <c r="A9" s="300" t="s">
        <v>83</v>
      </c>
      <c r="B9" s="325">
        <v>356.4</v>
      </c>
      <c r="C9" s="109">
        <v>1760.01</v>
      </c>
      <c r="D9" s="353">
        <f>150+50+100+55+1.4</f>
        <v>356.4</v>
      </c>
      <c r="E9" s="424">
        <v>1760.01</v>
      </c>
      <c r="F9" s="397">
        <f>D9-B9+B40</f>
        <v>0</v>
      </c>
      <c r="G9" s="418">
        <f t="shared" si="2"/>
        <v>0</v>
      </c>
      <c r="H9" s="388"/>
      <c r="I9" s="508">
        <v>131.22999999999999</v>
      </c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>
        <v>309.60000000000002</v>
      </c>
      <c r="C11" s="109">
        <v>1917.04</v>
      </c>
      <c r="D11" s="353">
        <v>309.60000000000002</v>
      </c>
      <c r="E11" s="424">
        <v>1917.04</v>
      </c>
      <c r="F11" s="397">
        <f t="shared" si="1"/>
        <v>0</v>
      </c>
      <c r="G11" s="418">
        <f t="shared" si="2"/>
        <v>0</v>
      </c>
      <c r="H11" s="388"/>
      <c r="I11" s="508">
        <v>149.88</v>
      </c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>
        <v>100.1</v>
      </c>
      <c r="C13" s="109">
        <v>493.43</v>
      </c>
      <c r="D13" s="353">
        <v>100.1</v>
      </c>
      <c r="E13" s="424">
        <v>493.43</v>
      </c>
      <c r="F13" s="397">
        <f t="shared" si="1"/>
        <v>0</v>
      </c>
      <c r="G13" s="418">
        <f t="shared" si="2"/>
        <v>0</v>
      </c>
      <c r="H13" s="388"/>
      <c r="I13" s="508">
        <v>47.99</v>
      </c>
    </row>
    <row r="14" spans="1:9" ht="25.5" customHeight="1">
      <c r="A14" s="283" t="s">
        <v>87</v>
      </c>
      <c r="B14" s="325">
        <v>270.39999999999998</v>
      </c>
      <c r="C14" s="109">
        <v>1224.29</v>
      </c>
      <c r="D14" s="353">
        <v>270.39999999999998</v>
      </c>
      <c r="E14" s="424">
        <v>1224.29</v>
      </c>
      <c r="F14" s="397">
        <f t="shared" si="1"/>
        <v>0</v>
      </c>
      <c r="G14" s="418">
        <f t="shared" si="2"/>
        <v>0</v>
      </c>
      <c r="H14" s="388"/>
      <c r="I14" s="508">
        <v>132.08000000000001</v>
      </c>
    </row>
    <row r="15" spans="1:9" ht="25.5" customHeight="1">
      <c r="A15" s="283" t="s">
        <v>88</v>
      </c>
      <c r="B15" s="325">
        <v>200.2</v>
      </c>
      <c r="C15" s="109">
        <v>984.6</v>
      </c>
      <c r="D15" s="353">
        <v>200.2</v>
      </c>
      <c r="E15" s="424">
        <v>984.6</v>
      </c>
      <c r="F15" s="397">
        <f t="shared" si="1"/>
        <v>0</v>
      </c>
      <c r="G15" s="418">
        <f t="shared" si="2"/>
        <v>0</v>
      </c>
      <c r="H15" s="388"/>
      <c r="I15" s="508">
        <v>97</v>
      </c>
    </row>
    <row r="16" spans="1:9" ht="25.5" customHeight="1">
      <c r="A16" s="283" t="s">
        <v>107</v>
      </c>
      <c r="B16" s="325">
        <v>971.1</v>
      </c>
      <c r="C16" s="109">
        <v>5069.3599999999997</v>
      </c>
      <c r="D16" s="353">
        <v>970.1</v>
      </c>
      <c r="E16" s="424">
        <v>5069.3599999999997</v>
      </c>
      <c r="F16" s="397">
        <f t="shared" si="1"/>
        <v>-1</v>
      </c>
      <c r="G16" s="418">
        <f t="shared" si="2"/>
        <v>0</v>
      </c>
      <c r="H16" s="388"/>
      <c r="I16" s="508">
        <v>494.83</v>
      </c>
    </row>
    <row r="17" spans="1:9" ht="25.5" customHeight="1" thickBot="1">
      <c r="A17" s="406" t="s">
        <v>89</v>
      </c>
      <c r="B17" s="339">
        <v>219.1</v>
      </c>
      <c r="C17" s="340">
        <v>764.13</v>
      </c>
      <c r="D17" s="356">
        <v>219.1</v>
      </c>
      <c r="E17" s="429">
        <v>764.13</v>
      </c>
      <c r="F17" s="398">
        <f t="shared" si="1"/>
        <v>0</v>
      </c>
      <c r="G17" s="419">
        <f>E17-C17</f>
        <v>0</v>
      </c>
      <c r="H17" s="407"/>
      <c r="I17" s="511">
        <v>0.85</v>
      </c>
    </row>
    <row r="18" spans="1:9" ht="25.5" customHeight="1" thickBot="1">
      <c r="A18" s="284" t="s">
        <v>151</v>
      </c>
      <c r="B18" s="359">
        <f>SUM(B8:B17)</f>
        <v>3179.4</v>
      </c>
      <c r="C18" s="359">
        <f t="shared" ref="C18:H18" si="3">SUM(C8:C17)</f>
        <v>16126.69</v>
      </c>
      <c r="D18" s="359">
        <f t="shared" si="3"/>
        <v>3178.4</v>
      </c>
      <c r="E18" s="359">
        <f t="shared" si="3"/>
        <v>16126.69</v>
      </c>
      <c r="F18" s="359">
        <f t="shared" si="3"/>
        <v>-1</v>
      </c>
      <c r="G18" s="359">
        <f t="shared" si="3"/>
        <v>0</v>
      </c>
      <c r="H18" s="359">
        <f t="shared" si="3"/>
        <v>0</v>
      </c>
      <c r="I18" s="359">
        <f>SUM(I8:I17)</f>
        <v>1327.61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3819.9</v>
      </c>
      <c r="C23" s="290">
        <f>SUM(C3+C4+C5+C6+C7+C18+C19+C20+C21+C22)</f>
        <v>21018.510000000002</v>
      </c>
      <c r="D23" s="742">
        <f>SUM(D3+D4+D5+D6+D7+D18+D19+D20+D21+D22)-3818.9</f>
        <v>0</v>
      </c>
      <c r="E23" s="290">
        <f>SUM(E3+E4+E5+E6+E7+E18+E19+E20+E21+E22)</f>
        <v>21018.510000000002</v>
      </c>
      <c r="F23" s="290">
        <f>SUM(F3+F4+F5+F6+F7+F18+F19+F20+F21+F22)</f>
        <v>-1</v>
      </c>
      <c r="G23" s="290">
        <f>SUM(G3+G4+G5+G6+G7+G18+G19+G20+G21+G22)</f>
        <v>0</v>
      </c>
      <c r="H23" s="290">
        <f t="shared" ref="H23" si="4">SUM(H3+H4+H5+H6+H7+H18+H19+H20+H21+H22)</f>
        <v>0</v>
      </c>
      <c r="I23" s="290">
        <f>SUM(I3+I4+I5+I6+I7+I18+I19+I20+I21+I22)</f>
        <v>1724.7399999999998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199</v>
      </c>
      <c r="B26" s="464"/>
      <c r="C26" s="1">
        <v>3818.9</v>
      </c>
      <c r="E26" s="437" t="s">
        <v>166</v>
      </c>
      <c r="F26" s="444"/>
      <c r="G26" s="450" t="s">
        <v>161</v>
      </c>
      <c r="H26" s="447"/>
    </row>
    <row r="27" spans="1:9" ht="30.7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23112.670000000006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SUM(D23+'3rd'!I30-'4th'!H25)</f>
        <v>-9.9999999997635314E-3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211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210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210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210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210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210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214">
        <f>SUM(B49:B54)</f>
        <v>0</v>
      </c>
      <c r="C55" s="214">
        <f>SUM(C49:C54)</f>
        <v>0</v>
      </c>
      <c r="D55" s="214">
        <f>SUM(D49:D54)</f>
        <v>0</v>
      </c>
      <c r="E55" s="214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215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211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210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210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210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214">
        <f>SUM(B57:B60)</f>
        <v>0</v>
      </c>
      <c r="C61" s="214">
        <f>SUM(C57:C60)</f>
        <v>0</v>
      </c>
      <c r="D61" s="214">
        <f>SUM(D57:D60)</f>
        <v>0</v>
      </c>
      <c r="E61" s="214">
        <f>SUM(E57:E60)</f>
        <v>0</v>
      </c>
      <c r="F61" s="214">
        <f>SUM(F57:F60)</f>
        <v>0</v>
      </c>
      <c r="G61" s="491"/>
    </row>
    <row r="62" spans="1:7" ht="25.5" customHeight="1" thickBot="1">
      <c r="A62" s="175" t="s">
        <v>30</v>
      </c>
      <c r="B62" s="215"/>
      <c r="C62" s="167"/>
      <c r="D62" s="167"/>
      <c r="E62" s="167"/>
      <c r="F62" s="168"/>
      <c r="G62" s="156"/>
    </row>
    <row r="63" spans="1:7" ht="25.5" customHeight="1">
      <c r="A63" s="495" t="s">
        <v>74</v>
      </c>
      <c r="B63" s="211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210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212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213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211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212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215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211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210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210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210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210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210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210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18"/>
  <sheetViews>
    <sheetView topLeftCell="A2" zoomScale="50" zoomScaleNormal="30" workbookViewId="0">
      <selection activeCell="D24" sqref="D24"/>
    </sheetView>
  </sheetViews>
  <sheetFormatPr defaultColWidth="28.42578125" defaultRowHeight="25.5" customHeight="1"/>
  <cols>
    <col min="1" max="1" width="35.710937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SUM('4th'!A2+1)</f>
        <v>45874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>
        <v>91.9</v>
      </c>
      <c r="C3" s="269">
        <v>480.48</v>
      </c>
      <c r="D3" s="352">
        <v>91.9</v>
      </c>
      <c r="E3" s="423">
        <v>480.48</v>
      </c>
      <c r="F3" s="396">
        <f>D3-B3</f>
        <v>0</v>
      </c>
      <c r="G3" s="417">
        <f>E3-C3</f>
        <v>0</v>
      </c>
      <c r="H3" s="387"/>
      <c r="I3" s="506">
        <v>38.99</v>
      </c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2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>
        <v>109.7</v>
      </c>
      <c r="C5" s="109">
        <v>2376.79</v>
      </c>
      <c r="D5" s="353">
        <v>109.7</v>
      </c>
      <c r="E5" s="424">
        <v>2376.79</v>
      </c>
      <c r="F5" s="397">
        <f t="shared" si="1"/>
        <v>0</v>
      </c>
      <c r="G5" s="418">
        <f t="shared" si="2"/>
        <v>0</v>
      </c>
      <c r="H5" s="388"/>
      <c r="I5" s="507">
        <v>175.97</v>
      </c>
    </row>
    <row r="6" spans="1:9" ht="25.5" customHeight="1">
      <c r="A6" s="300" t="s">
        <v>78</v>
      </c>
      <c r="B6" s="325">
        <v>224.8</v>
      </c>
      <c r="C6" s="109">
        <v>1113.3499999999999</v>
      </c>
      <c r="D6" s="353">
        <v>224.8</v>
      </c>
      <c r="E6" s="424">
        <v>1113.3499999999999</v>
      </c>
      <c r="F6" s="397">
        <f t="shared" si="1"/>
        <v>0</v>
      </c>
      <c r="G6" s="418">
        <f t="shared" si="2"/>
        <v>0</v>
      </c>
      <c r="H6" s="388"/>
      <c r="I6" s="508">
        <v>101.73</v>
      </c>
    </row>
    <row r="7" spans="1:9" ht="25.5" customHeight="1" thickBot="1">
      <c r="A7" s="741" t="s">
        <v>143</v>
      </c>
      <c r="B7" s="326">
        <v>171.2</v>
      </c>
      <c r="C7" s="270">
        <v>824.85</v>
      </c>
      <c r="D7" s="354">
        <v>171.2</v>
      </c>
      <c r="E7" s="425">
        <v>824.85</v>
      </c>
      <c r="F7" s="400">
        <f t="shared" si="1"/>
        <v>0</v>
      </c>
      <c r="G7" s="419">
        <f t="shared" si="2"/>
        <v>0</v>
      </c>
      <c r="H7" s="389"/>
      <c r="I7" s="509">
        <v>69.88</v>
      </c>
    </row>
    <row r="8" spans="1:9" ht="25.5" customHeight="1">
      <c r="A8" s="333" t="s">
        <v>82</v>
      </c>
      <c r="B8" s="327">
        <v>693.8</v>
      </c>
      <c r="C8" s="152">
        <v>2967.35</v>
      </c>
      <c r="D8" s="355">
        <f>120+350+220+3.8</f>
        <v>693.8</v>
      </c>
      <c r="E8" s="428">
        <v>2967.35</v>
      </c>
      <c r="F8" s="396">
        <f t="shared" si="1"/>
        <v>0</v>
      </c>
      <c r="G8" s="417">
        <f t="shared" si="2"/>
        <v>0</v>
      </c>
      <c r="H8" s="390"/>
      <c r="I8" s="510">
        <v>216.04</v>
      </c>
    </row>
    <row r="9" spans="1:9" ht="25.5" customHeight="1">
      <c r="A9" s="300" t="s">
        <v>83</v>
      </c>
      <c r="B9" s="325">
        <v>229.9</v>
      </c>
      <c r="C9" s="109">
        <v>1640.08</v>
      </c>
      <c r="D9" s="353">
        <v>229.9</v>
      </c>
      <c r="E9" s="424">
        <v>1640.08</v>
      </c>
      <c r="F9" s="397">
        <f>D9-B9+B40</f>
        <v>0</v>
      </c>
      <c r="G9" s="418">
        <f t="shared" si="2"/>
        <v>0</v>
      </c>
      <c r="H9" s="388"/>
      <c r="I9" s="508">
        <v>108.4</v>
      </c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>
        <v>342.7</v>
      </c>
      <c r="C11" s="109">
        <v>1509.46</v>
      </c>
      <c r="D11" s="353">
        <v>342.7</v>
      </c>
      <c r="E11" s="424">
        <v>1509.46</v>
      </c>
      <c r="F11" s="397">
        <f t="shared" si="1"/>
        <v>0</v>
      </c>
      <c r="G11" s="418">
        <f t="shared" si="2"/>
        <v>0</v>
      </c>
      <c r="H11" s="388"/>
      <c r="I11" s="508">
        <v>133.13999999999999</v>
      </c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>
        <v>125.6</v>
      </c>
      <c r="C13" s="109">
        <v>524.66999999999996</v>
      </c>
      <c r="D13" s="353">
        <v>125.6</v>
      </c>
      <c r="E13" s="424">
        <v>524.66999999999996</v>
      </c>
      <c r="F13" s="397">
        <f t="shared" si="1"/>
        <v>0</v>
      </c>
      <c r="G13" s="418">
        <f t="shared" si="2"/>
        <v>0</v>
      </c>
      <c r="H13" s="388"/>
      <c r="I13" s="508">
        <v>49.62</v>
      </c>
    </row>
    <row r="14" spans="1:9" ht="25.5" customHeight="1">
      <c r="A14" s="283" t="s">
        <v>87</v>
      </c>
      <c r="B14" s="325">
        <v>258.5</v>
      </c>
      <c r="C14" s="109">
        <v>1156.72</v>
      </c>
      <c r="D14" s="353">
        <v>243.5</v>
      </c>
      <c r="E14" s="424">
        <v>1156.72</v>
      </c>
      <c r="F14" s="397">
        <f t="shared" si="1"/>
        <v>-15</v>
      </c>
      <c r="G14" s="418">
        <f t="shared" si="2"/>
        <v>0</v>
      </c>
      <c r="H14" s="388"/>
      <c r="I14" s="508">
        <v>122.51</v>
      </c>
    </row>
    <row r="15" spans="1:9" ht="25.5" customHeight="1">
      <c r="A15" s="283" t="s">
        <v>88</v>
      </c>
      <c r="B15" s="325">
        <v>190.9</v>
      </c>
      <c r="C15" s="109">
        <v>1047.72</v>
      </c>
      <c r="D15" s="353">
        <v>190.9</v>
      </c>
      <c r="E15" s="424">
        <v>1047.72</v>
      </c>
      <c r="F15" s="397">
        <f t="shared" si="1"/>
        <v>0</v>
      </c>
      <c r="G15" s="418">
        <f t="shared" si="2"/>
        <v>0</v>
      </c>
      <c r="H15" s="388"/>
      <c r="I15" s="508">
        <v>97.59</v>
      </c>
    </row>
    <row r="16" spans="1:9" ht="25.5" customHeight="1">
      <c r="A16" s="283" t="s">
        <v>107</v>
      </c>
      <c r="B16" s="325">
        <v>1037.3</v>
      </c>
      <c r="C16" s="109">
        <v>4791.78</v>
      </c>
      <c r="D16" s="353">
        <f>800+220+15+2.1</f>
        <v>1037.0999999999999</v>
      </c>
      <c r="E16" s="424">
        <v>4791.78</v>
      </c>
      <c r="F16" s="397">
        <f t="shared" si="1"/>
        <v>-0.20000000000004547</v>
      </c>
      <c r="G16" s="418">
        <f t="shared" si="2"/>
        <v>0</v>
      </c>
      <c r="H16" s="388"/>
      <c r="I16" s="508">
        <v>479.86</v>
      </c>
    </row>
    <row r="17" spans="1:9" ht="25.5" customHeight="1" thickBot="1">
      <c r="A17" s="406" t="s">
        <v>89</v>
      </c>
      <c r="B17" s="339">
        <v>268.10000000000002</v>
      </c>
      <c r="C17" s="340">
        <v>735.66</v>
      </c>
      <c r="D17" s="356">
        <v>268.10000000000002</v>
      </c>
      <c r="E17" s="429">
        <v>735.66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3146.7999999999997</v>
      </c>
      <c r="C18" s="359">
        <f t="shared" ref="C18:H18" si="3">SUM(C8:C17)</f>
        <v>14373.439999999999</v>
      </c>
      <c r="D18" s="359">
        <f t="shared" si="3"/>
        <v>3131.6</v>
      </c>
      <c r="E18" s="359">
        <f t="shared" si="3"/>
        <v>14373.439999999999</v>
      </c>
      <c r="F18" s="359">
        <f t="shared" si="3"/>
        <v>-15.200000000000045</v>
      </c>
      <c r="G18" s="359">
        <f t="shared" si="3"/>
        <v>0</v>
      </c>
      <c r="H18" s="359">
        <f t="shared" si="3"/>
        <v>0</v>
      </c>
      <c r="I18" s="359">
        <f>SUM(I8:I17)</f>
        <v>1207.1600000000001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3744.3999999999996</v>
      </c>
      <c r="C23" s="290">
        <f>SUM(C3+C4+C5+C6+C7+C18+C19+C20+C21+C22)</f>
        <v>19168.91</v>
      </c>
      <c r="D23" s="290">
        <f>SUM(D3+D4+D5+D6+D7+D18+D19+D20+D21+D22)-3073-595.2</f>
        <v>60.999999999999773</v>
      </c>
      <c r="E23" s="290">
        <f>SUM(E3+E4+E5+E6+E7+E18+E19+E20+E21+E22)</f>
        <v>19168.91</v>
      </c>
      <c r="F23" s="290">
        <f>SUM(F3+F4+F5+F6+F7+F18+F19+F20+F21+F22)</f>
        <v>-15.200000000000045</v>
      </c>
      <c r="G23" s="290">
        <f>SUM(G3+G4+G5+G6+G7+G18+G19+G20+G21+G22)</f>
        <v>0</v>
      </c>
      <c r="H23" s="290">
        <f t="shared" ref="H23" si="4">SUM(H3+H4+H5+H6+H7+H18+H19+H20+H21+H22)</f>
        <v>0</v>
      </c>
      <c r="I23" s="290">
        <f>SUM(I3+I4+I5+I6+I7+I18+I19+I20+I21+I22)</f>
        <v>1593.73</v>
      </c>
    </row>
    <row r="24" spans="1:9" ht="25.5" customHeight="1" thickBot="1">
      <c r="A24" s="105" t="s">
        <v>180</v>
      </c>
      <c r="B24" s="160"/>
      <c r="D24" s="1">
        <v>3</v>
      </c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30" customHeight="1" thickBot="1">
      <c r="A26" s="467" t="s">
        <v>200</v>
      </c>
      <c r="B26" s="464"/>
      <c r="C26" s="1">
        <v>1359.7</v>
      </c>
      <c r="E26" s="437" t="s">
        <v>166</v>
      </c>
      <c r="F26" s="444"/>
      <c r="G26" s="450" t="s">
        <v>161</v>
      </c>
      <c r="H26" s="447"/>
    </row>
    <row r="27" spans="1:9" ht="30" customHeight="1" thickBot="1">
      <c r="A27" s="468" t="s">
        <v>201</v>
      </c>
      <c r="B27" s="465"/>
      <c r="C27" s="1">
        <v>1713.3</v>
      </c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202</v>
      </c>
      <c r="B28" s="465"/>
      <c r="C28" s="106">
        <v>595.20000000000005</v>
      </c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21304.379999999997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SUM(D23+'4th'!I30-'5th'!H25)</f>
        <v>60.990000000000009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211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210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210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210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210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210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214">
        <f>SUM(B49:B54)</f>
        <v>0</v>
      </c>
      <c r="C55" s="214">
        <f>SUM(C49:C54)</f>
        <v>0</v>
      </c>
      <c r="D55" s="214">
        <f>SUM(D49:D54)</f>
        <v>0</v>
      </c>
      <c r="E55" s="214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215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211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210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210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210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214">
        <f>SUM(B57:B60)</f>
        <v>0</v>
      </c>
      <c r="C61" s="214">
        <f>SUM(C57:C60)</f>
        <v>0</v>
      </c>
      <c r="D61" s="214">
        <f>SUM(D57:D60)</f>
        <v>0</v>
      </c>
      <c r="E61" s="214">
        <f>SUM(E57:E60)</f>
        <v>0</v>
      </c>
      <c r="F61" s="214">
        <f>SUM(F57:F60)</f>
        <v>0</v>
      </c>
      <c r="G61" s="491"/>
    </row>
    <row r="62" spans="1:7" ht="25.5" customHeight="1" thickBot="1">
      <c r="A62" s="175" t="s">
        <v>30</v>
      </c>
      <c r="B62" s="215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211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210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212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213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211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212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215"/>
      <c r="C69" s="167"/>
      <c r="D69" s="167"/>
      <c r="E69" s="167"/>
      <c r="F69" s="168"/>
      <c r="G69" s="156"/>
    </row>
    <row r="70" spans="1:7" ht="25.5" customHeight="1">
      <c r="A70" s="487" t="s">
        <v>130</v>
      </c>
      <c r="B70" s="211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210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210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210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210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210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210"/>
      <c r="C76" s="158"/>
      <c r="D76" s="158"/>
      <c r="E76" s="158"/>
      <c r="F76" s="159">
        <f t="shared" si="6"/>
        <v>0</v>
      </c>
      <c r="G76" s="156"/>
    </row>
    <row r="77" spans="1:7" ht="25.5" customHeight="1">
      <c r="B77" s="105"/>
      <c r="C77" s="105"/>
      <c r="D77" s="105"/>
      <c r="E77" s="105"/>
      <c r="F77" s="105"/>
      <c r="G77" s="105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18"/>
  <sheetViews>
    <sheetView zoomScale="60" zoomScaleNormal="60" workbookViewId="0">
      <selection activeCell="B17" sqref="B17"/>
    </sheetView>
  </sheetViews>
  <sheetFormatPr defaultColWidth="28.42578125" defaultRowHeight="25.5" customHeight="1"/>
  <cols>
    <col min="1" max="1" width="35.8554687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SUM('5th'!A2+1)</f>
        <v>45875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>
        <v>130.69999999999999</v>
      </c>
      <c r="C3" s="269">
        <v>704.53</v>
      </c>
      <c r="D3" s="352">
        <v>130.69999999999999</v>
      </c>
      <c r="E3" s="423">
        <v>704.53</v>
      </c>
      <c r="F3" s="396">
        <f>D3-B3</f>
        <v>0</v>
      </c>
      <c r="G3" s="417">
        <f>E3-C3</f>
        <v>0</v>
      </c>
      <c r="H3" s="387"/>
      <c r="I3" s="506">
        <v>61.11</v>
      </c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2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>
        <v>248.6</v>
      </c>
      <c r="C5" s="109">
        <v>2521.6</v>
      </c>
      <c r="D5" s="353">
        <v>248.6</v>
      </c>
      <c r="E5" s="424">
        <v>2521.6</v>
      </c>
      <c r="F5" s="397">
        <f t="shared" si="1"/>
        <v>0</v>
      </c>
      <c r="G5" s="418">
        <f t="shared" si="2"/>
        <v>0</v>
      </c>
      <c r="H5" s="388"/>
      <c r="I5" s="507">
        <v>195.35</v>
      </c>
    </row>
    <row r="6" spans="1:9" ht="25.5" customHeight="1">
      <c r="A6" s="300" t="s">
        <v>78</v>
      </c>
      <c r="B6" s="325">
        <v>219.8</v>
      </c>
      <c r="C6" s="109">
        <v>1215</v>
      </c>
      <c r="D6" s="353">
        <f>50+50+115+4.8</f>
        <v>219.8</v>
      </c>
      <c r="E6" s="424">
        <v>1215</v>
      </c>
      <c r="F6" s="397">
        <f t="shared" si="1"/>
        <v>0</v>
      </c>
      <c r="G6" s="418">
        <f t="shared" si="2"/>
        <v>0</v>
      </c>
      <c r="H6" s="388"/>
      <c r="I6" s="508">
        <v>102.64</v>
      </c>
    </row>
    <row r="7" spans="1:9" ht="25.5" customHeight="1" thickBot="1">
      <c r="A7" s="741" t="s">
        <v>143</v>
      </c>
      <c r="B7" s="326">
        <v>160.5</v>
      </c>
      <c r="C7" s="270">
        <v>1047.0999999999999</v>
      </c>
      <c r="D7" s="354">
        <v>160.5</v>
      </c>
      <c r="E7" s="425">
        <v>1047.0999999999999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>
        <v>766.9</v>
      </c>
      <c r="C8" s="152">
        <v>3536.51</v>
      </c>
      <c r="D8" s="355">
        <f>500+215+1.9+50</f>
        <v>766.9</v>
      </c>
      <c r="E8" s="428">
        <v>3536.51</v>
      </c>
      <c r="F8" s="396">
        <f t="shared" si="1"/>
        <v>0</v>
      </c>
      <c r="G8" s="417">
        <f t="shared" si="2"/>
        <v>0</v>
      </c>
      <c r="H8" s="390"/>
      <c r="I8" s="510">
        <v>262.39999999999998</v>
      </c>
    </row>
    <row r="9" spans="1:9" ht="25.5" customHeight="1">
      <c r="A9" s="300" t="s">
        <v>83</v>
      </c>
      <c r="B9" s="325">
        <v>421.4</v>
      </c>
      <c r="C9" s="109">
        <v>1676</v>
      </c>
      <c r="D9" s="353">
        <v>421.4</v>
      </c>
      <c r="E9" s="424">
        <v>1676</v>
      </c>
      <c r="F9" s="397">
        <f>D9-B9+B40</f>
        <v>0</v>
      </c>
      <c r="G9" s="418">
        <f t="shared" si="2"/>
        <v>0</v>
      </c>
      <c r="H9" s="388"/>
      <c r="I9" s="508">
        <v>125.82</v>
      </c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>
        <v>261.10000000000002</v>
      </c>
      <c r="C11" s="109">
        <v>2214.25</v>
      </c>
      <c r="D11" s="353">
        <v>261.10000000000002</v>
      </c>
      <c r="E11" s="424">
        <v>2214.25</v>
      </c>
      <c r="F11" s="397">
        <f t="shared" si="1"/>
        <v>0</v>
      </c>
      <c r="G11" s="418">
        <f t="shared" si="2"/>
        <v>0</v>
      </c>
      <c r="H11" s="388"/>
      <c r="I11" s="508">
        <v>178.25</v>
      </c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>
        <v>219.2</v>
      </c>
      <c r="C13" s="109">
        <v>564.74</v>
      </c>
      <c r="D13" s="353">
        <v>219.2</v>
      </c>
      <c r="E13" s="424">
        <v>564.74</v>
      </c>
      <c r="F13" s="397">
        <f t="shared" si="1"/>
        <v>0</v>
      </c>
      <c r="G13" s="418">
        <f t="shared" si="2"/>
        <v>0</v>
      </c>
      <c r="H13" s="388"/>
      <c r="I13" s="508">
        <v>61.88</v>
      </c>
    </row>
    <row r="14" spans="1:9" ht="25.5" customHeight="1">
      <c r="A14" s="283" t="s">
        <v>87</v>
      </c>
      <c r="B14" s="325">
        <v>166.1</v>
      </c>
      <c r="C14" s="109">
        <v>1377.93</v>
      </c>
      <c r="D14" s="353">
        <v>163.6</v>
      </c>
      <c r="E14" s="424">
        <v>1377.93</v>
      </c>
      <c r="F14" s="397">
        <f t="shared" si="1"/>
        <v>-2.5</v>
      </c>
      <c r="G14" s="418">
        <f t="shared" si="2"/>
        <v>0</v>
      </c>
      <c r="H14" s="388"/>
      <c r="I14" s="508">
        <v>134.41</v>
      </c>
    </row>
    <row r="15" spans="1:9" ht="25.5" customHeight="1">
      <c r="A15" s="283" t="s">
        <v>88</v>
      </c>
      <c r="B15" s="325">
        <v>109.9</v>
      </c>
      <c r="C15" s="109">
        <v>860.16</v>
      </c>
      <c r="D15" s="353">
        <v>109.9</v>
      </c>
      <c r="E15" s="424">
        <v>860.16</v>
      </c>
      <c r="F15" s="397">
        <f t="shared" si="1"/>
        <v>0</v>
      </c>
      <c r="G15" s="418">
        <f t="shared" si="2"/>
        <v>0</v>
      </c>
      <c r="H15" s="388"/>
      <c r="I15" s="508">
        <v>83.99</v>
      </c>
    </row>
    <row r="16" spans="1:9" ht="25.5" customHeight="1">
      <c r="A16" s="283" t="s">
        <v>107</v>
      </c>
      <c r="B16" s="325">
        <v>1194.2</v>
      </c>
      <c r="C16" s="109">
        <v>5968.78</v>
      </c>
      <c r="D16" s="353">
        <f>700+5+450+35+4.2</f>
        <v>1194.2</v>
      </c>
      <c r="E16" s="424">
        <v>5968.78</v>
      </c>
      <c r="F16" s="397">
        <f t="shared" si="1"/>
        <v>0</v>
      </c>
      <c r="G16" s="418">
        <f t="shared" si="2"/>
        <v>0</v>
      </c>
      <c r="H16" s="388"/>
      <c r="I16" s="508">
        <v>580</v>
      </c>
    </row>
    <row r="17" spans="1:9" ht="25.5" customHeight="1" thickBot="1">
      <c r="A17" s="406" t="s">
        <v>89</v>
      </c>
      <c r="B17" s="339">
        <v>301.2</v>
      </c>
      <c r="C17" s="340">
        <v>1033.23</v>
      </c>
      <c r="D17" s="356">
        <v>301.2</v>
      </c>
      <c r="E17" s="429">
        <v>1033.23</v>
      </c>
      <c r="F17" s="398">
        <f t="shared" si="1"/>
        <v>0</v>
      </c>
      <c r="G17" s="419">
        <f>E17-C17</f>
        <v>0</v>
      </c>
      <c r="H17" s="407"/>
      <c r="I17" s="511">
        <v>0.55000000000000004</v>
      </c>
    </row>
    <row r="18" spans="1:9" ht="25.5" customHeight="1" thickBot="1">
      <c r="A18" s="284" t="s">
        <v>151</v>
      </c>
      <c r="B18" s="359">
        <f>SUM(B8:B17)</f>
        <v>3440</v>
      </c>
      <c r="C18" s="359">
        <f t="shared" ref="C18:H18" si="3">SUM(C8:C17)</f>
        <v>17231.599999999999</v>
      </c>
      <c r="D18" s="359">
        <f t="shared" si="3"/>
        <v>3437.5</v>
      </c>
      <c r="E18" s="359">
        <f t="shared" si="3"/>
        <v>17231.599999999999</v>
      </c>
      <c r="F18" s="359">
        <f t="shared" si="3"/>
        <v>-2.5</v>
      </c>
      <c r="G18" s="359">
        <f t="shared" si="3"/>
        <v>0</v>
      </c>
      <c r="H18" s="359">
        <f t="shared" si="3"/>
        <v>0</v>
      </c>
      <c r="I18" s="359">
        <f>SUM(I8:I17)</f>
        <v>1427.3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4199.6000000000004</v>
      </c>
      <c r="C23" s="290">
        <f>SUM(C3+C4+C5+C6+C7+C18+C19+C20+C21+C22)</f>
        <v>22719.829999999998</v>
      </c>
      <c r="D23" s="290">
        <f>SUM(D3+D4+D5+D6+D7+D18+D19+D20+D21+D22)-3685.7-25.2-418.7</f>
        <v>67.500000000000568</v>
      </c>
      <c r="E23" s="290">
        <f>SUM(E3+E4+E5+E6+E7+E18+E19+E20+E21+E22)</f>
        <v>22719.829999999998</v>
      </c>
      <c r="F23" s="290">
        <f>SUM(F3+F4+F5+F6+F7+F18+F19+F20+F21+F22)</f>
        <v>-2.5</v>
      </c>
      <c r="G23" s="290">
        <f>SUM(G3+G4+G5+G6+G7+G18+G19+G20+G21+G22)</f>
        <v>0</v>
      </c>
      <c r="H23" s="290">
        <f t="shared" ref="H23" si="4">SUM(H3+H4+H5+H6+H7+H18+H19+H20+H21+H22)</f>
        <v>0</v>
      </c>
      <c r="I23" s="290">
        <f>SUM(I3+I4+I5+I6+I7+I18+I19+I20+I21+I22)</f>
        <v>1786.3999999999999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204</v>
      </c>
      <c r="B26" s="464"/>
      <c r="C26" s="1">
        <v>3685.7</v>
      </c>
      <c r="E26" s="437" t="s">
        <v>166</v>
      </c>
      <c r="F26" s="444"/>
      <c r="G26" s="450" t="s">
        <v>161</v>
      </c>
      <c r="H26" s="447"/>
    </row>
    <row r="27" spans="1:9" ht="30" customHeight="1" thickBot="1">
      <c r="A27" s="468" t="s">
        <v>205</v>
      </c>
      <c r="B27" s="465"/>
      <c r="C27" s="1">
        <v>25.2</v>
      </c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206</v>
      </c>
      <c r="B28" s="465"/>
      <c r="C28" s="106">
        <v>418.7</v>
      </c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25130.53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SUM(D23+'5th'!I30-'6th'!H25)</f>
        <v>128.49000000000058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211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210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210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210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210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210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214">
        <f>SUM(B49:B54)</f>
        <v>0</v>
      </c>
      <c r="C55" s="214">
        <f>SUM(C49:C54)</f>
        <v>0</v>
      </c>
      <c r="D55" s="214">
        <f>SUM(D49:D54)</f>
        <v>0</v>
      </c>
      <c r="E55" s="214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211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210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210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210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214">
        <f>SUM(B57:B60)</f>
        <v>0</v>
      </c>
      <c r="C61" s="214">
        <f>SUM(C57:C60)</f>
        <v>0</v>
      </c>
      <c r="D61" s="214">
        <f>SUM(D57:D60)</f>
        <v>0</v>
      </c>
      <c r="E61" s="214">
        <f>SUM(E57:E60)</f>
        <v>0</v>
      </c>
      <c r="F61" s="214">
        <f>SUM(F57:F60)</f>
        <v>0</v>
      </c>
      <c r="G61" s="491"/>
    </row>
    <row r="62" spans="1:7" ht="25.5" customHeight="1" thickBot="1">
      <c r="A62" s="175" t="s">
        <v>30</v>
      </c>
      <c r="B62" s="215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211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210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212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213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211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212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215"/>
      <c r="C69" s="167"/>
      <c r="D69" s="167"/>
      <c r="E69" s="167"/>
      <c r="F69" s="168"/>
      <c r="G69" s="156"/>
    </row>
    <row r="70" spans="1:7" ht="25.5" customHeight="1">
      <c r="A70" s="487" t="s">
        <v>130</v>
      </c>
      <c r="B70" s="211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210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210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210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210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210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210"/>
      <c r="C76" s="158"/>
      <c r="D76" s="158"/>
      <c r="E76" s="158"/>
      <c r="F76" s="159">
        <f t="shared" si="6"/>
        <v>0</v>
      </c>
      <c r="G76" s="156"/>
    </row>
    <row r="77" spans="1:7" ht="25.5" customHeight="1">
      <c r="B77" s="105"/>
      <c r="C77" s="105"/>
      <c r="D77" s="105"/>
      <c r="E77" s="105"/>
      <c r="F77" s="105"/>
      <c r="G77" s="105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3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118"/>
  <sheetViews>
    <sheetView zoomScale="60" zoomScaleNormal="60" workbookViewId="0">
      <selection activeCell="D24" sqref="D24"/>
    </sheetView>
  </sheetViews>
  <sheetFormatPr defaultColWidth="28.42578125" defaultRowHeight="25.5" customHeight="1"/>
  <cols>
    <col min="1" max="1" width="35.42578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SUM('6th'!A2+1)</f>
        <v>45876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>
        <v>127.2</v>
      </c>
      <c r="C3" s="269">
        <v>661.99</v>
      </c>
      <c r="D3" s="352">
        <v>107.4</v>
      </c>
      <c r="E3" s="423">
        <v>661.99</v>
      </c>
      <c r="F3" s="396">
        <f>D3-B3</f>
        <v>-19.799999999999997</v>
      </c>
      <c r="G3" s="417">
        <f>E3-C3</f>
        <v>0</v>
      </c>
      <c r="H3" s="387"/>
      <c r="I3" s="506">
        <v>58.83</v>
      </c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2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>
        <v>176.9</v>
      </c>
      <c r="C5" s="109">
        <v>2794.67</v>
      </c>
      <c r="D5" s="353">
        <v>176.9</v>
      </c>
      <c r="E5" s="424">
        <v>2794.67</v>
      </c>
      <c r="F5" s="397">
        <f t="shared" si="1"/>
        <v>0</v>
      </c>
      <c r="G5" s="418">
        <f t="shared" si="2"/>
        <v>0</v>
      </c>
      <c r="H5" s="388"/>
      <c r="I5" s="507">
        <v>202.35</v>
      </c>
    </row>
    <row r="6" spans="1:9" ht="25.5" customHeight="1">
      <c r="A6" s="300" t="s">
        <v>78</v>
      </c>
      <c r="B6" s="325">
        <v>143.69999999999999</v>
      </c>
      <c r="C6" s="109">
        <v>1256.4100000000001</v>
      </c>
      <c r="D6" s="353">
        <v>143.69999999999999</v>
      </c>
      <c r="E6" s="424">
        <v>1256.4100000000001</v>
      </c>
      <c r="F6" s="397">
        <f t="shared" si="1"/>
        <v>0</v>
      </c>
      <c r="G6" s="418">
        <f t="shared" si="2"/>
        <v>0</v>
      </c>
      <c r="H6" s="388"/>
      <c r="I6" s="508">
        <v>102.74</v>
      </c>
    </row>
    <row r="7" spans="1:9" ht="25.5" customHeight="1" thickBot="1">
      <c r="A7" s="741" t="s">
        <v>143</v>
      </c>
      <c r="B7" s="326">
        <v>261.39999999999998</v>
      </c>
      <c r="C7" s="270">
        <v>1013.89</v>
      </c>
      <c r="D7" s="354">
        <v>261.39999999999998</v>
      </c>
      <c r="E7" s="425">
        <v>1013.89</v>
      </c>
      <c r="F7" s="400">
        <f t="shared" si="1"/>
        <v>0</v>
      </c>
      <c r="G7" s="419">
        <f t="shared" si="2"/>
        <v>0</v>
      </c>
      <c r="H7" s="389"/>
      <c r="I7" s="509">
        <v>85.09</v>
      </c>
    </row>
    <row r="8" spans="1:9" ht="25.5" customHeight="1">
      <c r="A8" s="333" t="s">
        <v>82</v>
      </c>
      <c r="B8" s="327">
        <v>526.4</v>
      </c>
      <c r="C8" s="152">
        <v>3725.66</v>
      </c>
      <c r="D8" s="355">
        <v>526.4</v>
      </c>
      <c r="E8" s="428">
        <v>3725.66</v>
      </c>
      <c r="F8" s="396">
        <f t="shared" si="1"/>
        <v>0</v>
      </c>
      <c r="G8" s="417">
        <f t="shared" si="2"/>
        <v>0</v>
      </c>
      <c r="H8" s="390"/>
      <c r="I8" s="510">
        <v>260.52999999999997</v>
      </c>
    </row>
    <row r="9" spans="1:9" ht="25.5" customHeight="1">
      <c r="A9" s="300" t="s">
        <v>83</v>
      </c>
      <c r="B9" s="325">
        <v>380.7</v>
      </c>
      <c r="C9" s="109">
        <v>1755.84</v>
      </c>
      <c r="D9" s="353">
        <v>380.7</v>
      </c>
      <c r="E9" s="424">
        <v>1755.84</v>
      </c>
      <c r="F9" s="397">
        <f>D9-B9+B40</f>
        <v>0</v>
      </c>
      <c r="G9" s="418">
        <f t="shared" si="2"/>
        <v>0</v>
      </c>
      <c r="H9" s="388"/>
      <c r="I9" s="508">
        <v>137.15</v>
      </c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>
        <v>224.8</v>
      </c>
      <c r="C11" s="109">
        <v>2108.21</v>
      </c>
      <c r="D11" s="353">
        <v>224.8</v>
      </c>
      <c r="E11" s="424">
        <v>2108.21</v>
      </c>
      <c r="F11" s="397">
        <f t="shared" si="1"/>
        <v>0</v>
      </c>
      <c r="G11" s="418">
        <f t="shared" si="2"/>
        <v>0</v>
      </c>
      <c r="H11" s="388"/>
      <c r="I11" s="508">
        <v>154.74</v>
      </c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>
        <v>126</v>
      </c>
      <c r="C13" s="109">
        <v>648.11</v>
      </c>
      <c r="D13" s="353">
        <v>126</v>
      </c>
      <c r="E13" s="424">
        <v>648.11</v>
      </c>
      <c r="F13" s="397">
        <f t="shared" si="1"/>
        <v>0</v>
      </c>
      <c r="G13" s="418">
        <f t="shared" si="2"/>
        <v>0</v>
      </c>
      <c r="H13" s="388"/>
      <c r="I13" s="508">
        <v>58.06</v>
      </c>
    </row>
    <row r="14" spans="1:9" ht="25.5" customHeight="1">
      <c r="A14" s="283" t="s">
        <v>87</v>
      </c>
      <c r="B14" s="325">
        <v>181.5</v>
      </c>
      <c r="C14" s="109">
        <v>1213.19</v>
      </c>
      <c r="D14" s="353">
        <v>181.5</v>
      </c>
      <c r="E14" s="424">
        <v>1213.19</v>
      </c>
      <c r="F14" s="397">
        <f t="shared" si="1"/>
        <v>0</v>
      </c>
      <c r="G14" s="418">
        <f t="shared" si="2"/>
        <v>0</v>
      </c>
      <c r="H14" s="388"/>
      <c r="I14" s="508">
        <v>123.99</v>
      </c>
    </row>
    <row r="15" spans="1:9" ht="25.5" customHeight="1">
      <c r="A15" s="283" t="s">
        <v>88</v>
      </c>
      <c r="B15" s="325">
        <v>227.5</v>
      </c>
      <c r="C15" s="109">
        <v>1177.54</v>
      </c>
      <c r="D15" s="353">
        <v>227.5</v>
      </c>
      <c r="E15" s="424">
        <v>1177.54</v>
      </c>
      <c r="F15" s="397">
        <f t="shared" si="1"/>
        <v>0</v>
      </c>
      <c r="G15" s="418">
        <f t="shared" si="2"/>
        <v>0</v>
      </c>
      <c r="H15" s="388"/>
      <c r="I15" s="508">
        <v>120.94</v>
      </c>
    </row>
    <row r="16" spans="1:9" ht="25.5" customHeight="1">
      <c r="A16" s="283" t="s">
        <v>107</v>
      </c>
      <c r="B16" s="325">
        <v>941.5</v>
      </c>
      <c r="C16" s="109">
        <v>6461.96</v>
      </c>
      <c r="D16" s="353">
        <f>941.5</f>
        <v>941.5</v>
      </c>
      <c r="E16" s="424">
        <v>6461.96</v>
      </c>
      <c r="F16" s="397">
        <f t="shared" si="1"/>
        <v>0</v>
      </c>
      <c r="G16" s="418">
        <f t="shared" si="2"/>
        <v>0</v>
      </c>
      <c r="H16" s="388"/>
      <c r="I16" s="508">
        <v>579.91999999999996</v>
      </c>
    </row>
    <row r="17" spans="1:9" ht="25.5" customHeight="1" thickBot="1">
      <c r="A17" s="406" t="s">
        <v>89</v>
      </c>
      <c r="B17" s="339">
        <v>218.7</v>
      </c>
      <c r="C17" s="340">
        <v>922.55</v>
      </c>
      <c r="D17" s="356">
        <v>218.7</v>
      </c>
      <c r="E17" s="429">
        <v>922.55</v>
      </c>
      <c r="F17" s="398">
        <f t="shared" si="1"/>
        <v>0</v>
      </c>
      <c r="G17" s="419">
        <f>E17-C17</f>
        <v>0</v>
      </c>
      <c r="H17" s="407"/>
      <c r="I17" s="511">
        <v>0.18</v>
      </c>
    </row>
    <row r="18" spans="1:9" ht="25.5" customHeight="1" thickBot="1">
      <c r="A18" s="284" t="s">
        <v>151</v>
      </c>
      <c r="B18" s="359">
        <f>SUM(B8:B17)</f>
        <v>2827.0999999999995</v>
      </c>
      <c r="C18" s="359">
        <f t="shared" ref="C18:H18" si="3">SUM(C8:C17)</f>
        <v>18013.059999999998</v>
      </c>
      <c r="D18" s="359">
        <f t="shared" si="3"/>
        <v>2827.0999999999995</v>
      </c>
      <c r="E18" s="359">
        <f t="shared" si="3"/>
        <v>18013.059999999998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1435.51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3536.2999999999993</v>
      </c>
      <c r="C23" s="290">
        <f>SUM(C3+C4+C5+C6+C7+C18+C19+C20+C21+C22)</f>
        <v>23740.019999999997</v>
      </c>
      <c r="D23" s="290">
        <f>SUM(D3+D4+D5+D6+D7+D18+D19+D20+D21+D22)-1970-1341.7</f>
        <v>204.7999999999995</v>
      </c>
      <c r="E23" s="290">
        <f>SUM(E3+E4+E5+E6+E7+E18+E19+E20+E21+E22)</f>
        <v>23740.019999999997</v>
      </c>
      <c r="F23" s="290">
        <f>SUM(F3+F4+F5+F6+F7+F18+F19+F20+F21+F22)</f>
        <v>-19.799999999999997</v>
      </c>
      <c r="G23" s="290">
        <f>SUM(G3+G4+G5+G6+G7+G18+G19+G20+G21+G22)</f>
        <v>0</v>
      </c>
      <c r="H23" s="290">
        <f t="shared" ref="H23" si="4">SUM(H3+H4+H5+H6+H7+H18+H19+H20+H21+H22)</f>
        <v>0</v>
      </c>
      <c r="I23" s="290">
        <f>SUM(I3+I4+I5+I6+I7+I18+I19+I20+I21+I22)</f>
        <v>1884.52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207</v>
      </c>
      <c r="B26" s="464"/>
      <c r="C26" s="1">
        <v>1967.9</v>
      </c>
      <c r="E26" s="437" t="s">
        <v>166</v>
      </c>
      <c r="F26" s="444"/>
      <c r="G26" s="450" t="s">
        <v>161</v>
      </c>
      <c r="H26" s="447"/>
    </row>
    <row r="27" spans="1:9" ht="28.5" customHeight="1" thickBot="1">
      <c r="A27" s="468" t="s">
        <v>208</v>
      </c>
      <c r="B27" s="465"/>
      <c r="C27" s="1">
        <v>1341.7</v>
      </c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25371.999999999996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SUM(D23+'6th'!I30-'7th'!H25)</f>
        <v>333.29000000000008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211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210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210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210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210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210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211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210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210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210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214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211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210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212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213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211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212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215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211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210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210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210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210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210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210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18"/>
  <sheetViews>
    <sheetView zoomScale="60" zoomScaleNormal="60" workbookViewId="0">
      <selection activeCell="D24" sqref="D24"/>
    </sheetView>
  </sheetViews>
  <sheetFormatPr defaultColWidth="28.42578125" defaultRowHeight="25.5" customHeight="1"/>
  <cols>
    <col min="1" max="1" width="36.1406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SUM('7th'!A2+1)</f>
        <v>45877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>
        <v>65.7</v>
      </c>
      <c r="C3" s="269">
        <v>475.12</v>
      </c>
      <c r="D3" s="352">
        <v>65.7</v>
      </c>
      <c r="E3" s="423">
        <v>475.12</v>
      </c>
      <c r="F3" s="396">
        <f>D3-B3</f>
        <v>0</v>
      </c>
      <c r="G3" s="417">
        <f>E3-C3</f>
        <v>0</v>
      </c>
      <c r="H3" s="387"/>
      <c r="I3" s="506">
        <v>40.36</v>
      </c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2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>
        <v>136.69999999999999</v>
      </c>
      <c r="C5" s="109">
        <v>2495.6</v>
      </c>
      <c r="D5" s="353">
        <v>136.69999999999999</v>
      </c>
      <c r="E5" s="424">
        <v>2495.6</v>
      </c>
      <c r="F5" s="397">
        <f t="shared" si="1"/>
        <v>0</v>
      </c>
      <c r="G5" s="418">
        <f t="shared" si="2"/>
        <v>0</v>
      </c>
      <c r="H5" s="388"/>
      <c r="I5" s="507">
        <v>190.34</v>
      </c>
    </row>
    <row r="6" spans="1:9" ht="25.5" customHeight="1">
      <c r="A6" s="300" t="s">
        <v>78</v>
      </c>
      <c r="B6" s="325">
        <v>138.6</v>
      </c>
      <c r="C6" s="109">
        <v>877.43</v>
      </c>
      <c r="D6" s="353">
        <v>138.6</v>
      </c>
      <c r="E6" s="424">
        <v>877.43</v>
      </c>
      <c r="F6" s="397">
        <f t="shared" si="1"/>
        <v>0</v>
      </c>
      <c r="G6" s="418">
        <f t="shared" si="2"/>
        <v>0</v>
      </c>
      <c r="H6" s="388"/>
      <c r="I6" s="508">
        <v>78.17</v>
      </c>
    </row>
    <row r="7" spans="1:9" ht="25.5" customHeight="1" thickBot="1">
      <c r="A7" s="741" t="s">
        <v>143</v>
      </c>
      <c r="B7" s="326">
        <v>211.6</v>
      </c>
      <c r="C7" s="270">
        <v>863.96</v>
      </c>
      <c r="D7" s="354">
        <v>211.6</v>
      </c>
      <c r="E7" s="425">
        <v>863.96</v>
      </c>
      <c r="F7" s="400">
        <f t="shared" si="1"/>
        <v>0</v>
      </c>
      <c r="G7" s="419">
        <f t="shared" si="2"/>
        <v>0</v>
      </c>
      <c r="H7" s="389"/>
      <c r="I7" s="509">
        <v>75.489999999999995</v>
      </c>
    </row>
    <row r="8" spans="1:9" ht="25.5" customHeight="1">
      <c r="A8" s="333" t="s">
        <v>82</v>
      </c>
      <c r="B8" s="327">
        <v>573.1</v>
      </c>
      <c r="C8" s="152">
        <v>3607.46</v>
      </c>
      <c r="D8" s="355">
        <v>573.1</v>
      </c>
      <c r="E8" s="428">
        <v>3607.46</v>
      </c>
      <c r="F8" s="396">
        <f t="shared" si="1"/>
        <v>0</v>
      </c>
      <c r="G8" s="417">
        <f t="shared" si="2"/>
        <v>0</v>
      </c>
      <c r="H8" s="390"/>
      <c r="I8" s="510">
        <v>239.08</v>
      </c>
    </row>
    <row r="9" spans="1:9" ht="25.5" customHeight="1">
      <c r="A9" s="300" t="s">
        <v>83</v>
      </c>
      <c r="B9" s="325">
        <v>264.39999999999998</v>
      </c>
      <c r="C9" s="109">
        <v>1679.72</v>
      </c>
      <c r="D9" s="353">
        <f>264</f>
        <v>264</v>
      </c>
      <c r="E9" s="424">
        <v>1679.72</v>
      </c>
      <c r="F9" s="397">
        <f>D9-B9+B40</f>
        <v>-0.39999999999997726</v>
      </c>
      <c r="G9" s="418">
        <f t="shared" si="2"/>
        <v>0</v>
      </c>
      <c r="H9" s="388"/>
      <c r="I9" s="508">
        <v>120.65</v>
      </c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>
        <v>245.8</v>
      </c>
      <c r="C11" s="109">
        <v>1900.22</v>
      </c>
      <c r="D11" s="353">
        <v>245.8</v>
      </c>
      <c r="E11" s="424">
        <v>1900.22</v>
      </c>
      <c r="F11" s="397">
        <f t="shared" si="1"/>
        <v>0</v>
      </c>
      <c r="G11" s="418">
        <f t="shared" si="2"/>
        <v>0</v>
      </c>
      <c r="H11" s="388"/>
      <c r="I11" s="508">
        <v>151.5</v>
      </c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>
        <v>139.30000000000001</v>
      </c>
      <c r="C13" s="109">
        <v>751.54</v>
      </c>
      <c r="D13" s="353">
        <v>139.30000000000001</v>
      </c>
      <c r="E13" s="424">
        <v>751.54</v>
      </c>
      <c r="F13" s="397">
        <f t="shared" si="1"/>
        <v>0</v>
      </c>
      <c r="G13" s="418">
        <f t="shared" si="2"/>
        <v>0</v>
      </c>
      <c r="H13" s="388"/>
      <c r="I13" s="508">
        <v>62.41</v>
      </c>
    </row>
    <row r="14" spans="1:9" ht="25.5" customHeight="1">
      <c r="A14" s="283" t="s">
        <v>87</v>
      </c>
      <c r="B14" s="325">
        <v>162.6</v>
      </c>
      <c r="C14" s="109">
        <v>1247.01</v>
      </c>
      <c r="D14" s="353">
        <v>162.6</v>
      </c>
      <c r="E14" s="424">
        <v>1247.01</v>
      </c>
      <c r="F14" s="397">
        <f t="shared" si="1"/>
        <v>0</v>
      </c>
      <c r="G14" s="418">
        <f t="shared" si="2"/>
        <v>0</v>
      </c>
      <c r="H14" s="388"/>
      <c r="I14" s="508">
        <v>126.55</v>
      </c>
    </row>
    <row r="15" spans="1:9" ht="25.5" customHeight="1">
      <c r="A15" s="283" t="s">
        <v>88</v>
      </c>
      <c r="B15" s="325">
        <v>79.3</v>
      </c>
      <c r="C15" s="109">
        <v>888.47</v>
      </c>
      <c r="D15" s="353">
        <v>79.3</v>
      </c>
      <c r="E15" s="424">
        <v>888.47</v>
      </c>
      <c r="F15" s="397">
        <f t="shared" si="1"/>
        <v>0</v>
      </c>
      <c r="G15" s="418">
        <f t="shared" si="2"/>
        <v>0</v>
      </c>
      <c r="H15" s="388"/>
      <c r="I15" s="508">
        <v>81.91</v>
      </c>
    </row>
    <row r="16" spans="1:9" ht="25.5" customHeight="1">
      <c r="A16" s="283" t="s">
        <v>107</v>
      </c>
      <c r="B16" s="325">
        <v>749.8</v>
      </c>
      <c r="C16" s="109">
        <v>5993.66</v>
      </c>
      <c r="D16" s="353">
        <v>749.8</v>
      </c>
      <c r="E16" s="424">
        <v>5993.66</v>
      </c>
      <c r="F16" s="397">
        <f t="shared" si="1"/>
        <v>0</v>
      </c>
      <c r="G16" s="418">
        <f t="shared" si="2"/>
        <v>0</v>
      </c>
      <c r="H16" s="388"/>
      <c r="I16" s="508">
        <v>535.38</v>
      </c>
    </row>
    <row r="17" spans="1:9" ht="25.5" customHeight="1" thickBot="1">
      <c r="A17" s="406" t="s">
        <v>89</v>
      </c>
      <c r="B17" s="339">
        <v>137.9</v>
      </c>
      <c r="C17" s="340">
        <v>829.38</v>
      </c>
      <c r="D17" s="356">
        <v>137.9</v>
      </c>
      <c r="E17" s="429">
        <v>829.38</v>
      </c>
      <c r="F17" s="398">
        <f t="shared" si="1"/>
        <v>0</v>
      </c>
      <c r="G17" s="419">
        <f>E17-C17</f>
        <v>0</v>
      </c>
      <c r="H17" s="407"/>
      <c r="I17" s="511">
        <v>1.17</v>
      </c>
    </row>
    <row r="18" spans="1:9" ht="25.5" customHeight="1" thickBot="1">
      <c r="A18" s="284" t="s">
        <v>151</v>
      </c>
      <c r="B18" s="359">
        <f>SUM(B8:B17)</f>
        <v>2352.1999999999998</v>
      </c>
      <c r="C18" s="359">
        <f t="shared" ref="C18:H18" si="3">SUM(C8:C17)</f>
        <v>16897.46</v>
      </c>
      <c r="D18" s="359">
        <f t="shared" si="3"/>
        <v>2351.7999999999997</v>
      </c>
      <c r="E18" s="359">
        <f t="shared" si="3"/>
        <v>16897.46</v>
      </c>
      <c r="F18" s="359">
        <f t="shared" si="3"/>
        <v>-0.39999999999997726</v>
      </c>
      <c r="G18" s="359">
        <f t="shared" si="3"/>
        <v>0</v>
      </c>
      <c r="H18" s="359">
        <f t="shared" si="3"/>
        <v>0</v>
      </c>
      <c r="I18" s="359">
        <f>SUM(I8:I17)</f>
        <v>1318.65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2904.7999999999997</v>
      </c>
      <c r="C23" s="290">
        <f>SUM(C3+C4+C5+C6+C7+C18+C19+C20+C21+C22)</f>
        <v>21609.57</v>
      </c>
      <c r="D23" s="290">
        <f>SUM(D3+D4+D5+D6+D7+D18+D19+D20+D21+D22)-1310.7-1413.7-125.8</f>
        <v>54.199999999999548</v>
      </c>
      <c r="E23" s="290">
        <f>SUM(E3+E4+E5+E6+E7+E18+E19+E20+E21+E22)</f>
        <v>21609.57</v>
      </c>
      <c r="F23" s="290">
        <f>SUM(F3+F4+F5+F6+F7+F18+F19+F20+F21+F22)</f>
        <v>-0.39999999999997726</v>
      </c>
      <c r="G23" s="290">
        <f>SUM(G3+G4+G5+G6+G7+G18+G19+G20+G21+G22)</f>
        <v>0</v>
      </c>
      <c r="H23" s="290">
        <f t="shared" ref="H23" si="4">SUM(H3+H4+H5+H6+H7+H18+H19+H20+H21+H22)</f>
        <v>0</v>
      </c>
      <c r="I23" s="290">
        <f>SUM(I3+I4+I5+I6+I7+I18+I19+I20+I21+I22)</f>
        <v>1703.0100000000002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209</v>
      </c>
      <c r="B26" s="464"/>
      <c r="C26" s="1">
        <v>1310.7</v>
      </c>
      <c r="E26" s="437" t="s">
        <v>166</v>
      </c>
      <c r="F26" s="444"/>
      <c r="G26" s="450" t="s">
        <v>161</v>
      </c>
      <c r="H26" s="447"/>
    </row>
    <row r="27" spans="1:9" ht="28.5" customHeight="1" thickBot="1">
      <c r="A27" s="468" t="s">
        <v>210</v>
      </c>
      <c r="B27" s="465"/>
      <c r="C27" s="1">
        <v>1413.8</v>
      </c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211</v>
      </c>
      <c r="B28" s="465"/>
      <c r="C28" s="106">
        <v>125.8</v>
      </c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22810.959999999999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SUM(D23+'7th'!I30-'8th'!H25)</f>
        <v>387.48999999999961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211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210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210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210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210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210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214">
        <f>SUM(B49:B54)</f>
        <v>0</v>
      </c>
      <c r="C55" s="214">
        <f>SUM(C49:C54)</f>
        <v>0</v>
      </c>
      <c r="D55" s="214">
        <f>SUM(D49:D54)</f>
        <v>0</v>
      </c>
      <c r="E55" s="214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211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210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210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210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214">
        <f>SUM(B57:B60)</f>
        <v>0</v>
      </c>
      <c r="C61" s="214">
        <f>SUM(C57:C60)</f>
        <v>0</v>
      </c>
      <c r="D61" s="214">
        <f>SUM(D57:D60)</f>
        <v>0</v>
      </c>
      <c r="E61" s="214">
        <f>SUM(E57:E60)</f>
        <v>0</v>
      </c>
      <c r="F61" s="214">
        <f>SUM(F57:F60)</f>
        <v>0</v>
      </c>
      <c r="G61" s="491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211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210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212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213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211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212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130</v>
      </c>
      <c r="B70" s="211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210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210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210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210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210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210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118"/>
  <sheetViews>
    <sheetView topLeftCell="A3" zoomScale="70" zoomScaleNormal="70" workbookViewId="0">
      <selection activeCell="D28" sqref="D28"/>
    </sheetView>
  </sheetViews>
  <sheetFormatPr defaultColWidth="28.42578125" defaultRowHeight="25.5" customHeight="1"/>
  <cols>
    <col min="1" max="1" width="35.42578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SUM('8th'!A2+1)</f>
        <v>45878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>
        <v>538</v>
      </c>
      <c r="C8" s="152">
        <v>3419.88</v>
      </c>
      <c r="D8" s="355">
        <f>538</f>
        <v>538</v>
      </c>
      <c r="E8" s="428">
        <v>3419.88</v>
      </c>
      <c r="F8" s="396">
        <f t="shared" si="1"/>
        <v>0</v>
      </c>
      <c r="G8" s="417">
        <f t="shared" si="2"/>
        <v>0</v>
      </c>
      <c r="H8" s="390"/>
      <c r="I8" s="510">
        <v>221.76</v>
      </c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>
        <v>47.7</v>
      </c>
      <c r="C14" s="109">
        <v>602.6</v>
      </c>
      <c r="D14" s="353">
        <v>47.7</v>
      </c>
      <c r="E14" s="424">
        <v>602.6</v>
      </c>
      <c r="F14" s="397">
        <f t="shared" si="1"/>
        <v>0</v>
      </c>
      <c r="G14" s="418">
        <f t="shared" si="2"/>
        <v>0</v>
      </c>
      <c r="H14" s="388"/>
      <c r="I14" s="508">
        <v>57.27</v>
      </c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>
        <v>525.4</v>
      </c>
      <c r="C16" s="109">
        <v>2592.64</v>
      </c>
      <c r="D16" s="353">
        <v>525.4</v>
      </c>
      <c r="E16" s="424">
        <v>2592.64</v>
      </c>
      <c r="F16" s="397">
        <f t="shared" si="1"/>
        <v>0</v>
      </c>
      <c r="G16" s="418">
        <f t="shared" si="2"/>
        <v>0</v>
      </c>
      <c r="H16" s="388"/>
      <c r="I16" s="508">
        <v>202.6</v>
      </c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1111.0999999999999</v>
      </c>
      <c r="C18" s="359">
        <f t="shared" ref="C18:H18" si="3">SUM(C8:C17)</f>
        <v>6615.12</v>
      </c>
      <c r="D18" s="359">
        <f t="shared" si="3"/>
        <v>1111.0999999999999</v>
      </c>
      <c r="E18" s="359">
        <f t="shared" si="3"/>
        <v>6615.12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481.63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1111.0999999999999</v>
      </c>
      <c r="C23" s="290">
        <f>SUM(C3+C4+C5+C6+C7+C18+C19+C20+C21+C22)</f>
        <v>6615.12</v>
      </c>
      <c r="D23" s="290">
        <f>SUM(D3+D4+D5+D6+D7+D18+D19+D20+D21+D22)-1111.1</f>
        <v>0</v>
      </c>
      <c r="E23" s="290">
        <f>SUM(E3+E4+E5+E6+E7+E18+E19+E20+E21+E22)</f>
        <v>6615.12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ref="H23" si="4">SUM(H3+H4+H5+H6+H7+H18+H19+H20+H21+H22)</f>
        <v>0</v>
      </c>
      <c r="I23" s="290">
        <f>SUM(I3+I4+I5+I6+I7+I18+I19+I20+I21+I22)</f>
        <v>481.63</v>
      </c>
    </row>
    <row r="24" spans="1:9" ht="25.5" customHeight="1" thickBot="1">
      <c r="A24" s="105" t="s">
        <v>180</v>
      </c>
      <c r="B24" s="107"/>
      <c r="D24" s="1" t="s">
        <v>213</v>
      </c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212</v>
      </c>
      <c r="B26" s="464"/>
      <c r="C26" s="1">
        <v>1111.0999999999999</v>
      </c>
      <c r="E26" s="437" t="s">
        <v>166</v>
      </c>
      <c r="F26" s="444"/>
      <c r="G26" s="450" t="s">
        <v>161</v>
      </c>
      <c r="H26" s="447"/>
    </row>
    <row r="27" spans="1:9" ht="28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7244.5899999999992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SUM(D23+'8th'!I30-'9th'!H25)</f>
        <v>387.48999999999961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211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210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210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210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210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210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214">
        <f>SUM(B49:B54)</f>
        <v>0</v>
      </c>
      <c r="C55" s="214">
        <f>SUM(C49:C54)</f>
        <v>0</v>
      </c>
      <c r="D55" s="214">
        <f>SUM(D49:D54)</f>
        <v>0</v>
      </c>
      <c r="E55" s="214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215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211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210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210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210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214">
        <f>SUM(B57:B60)</f>
        <v>0</v>
      </c>
      <c r="C61" s="214">
        <f>SUM(C57:C60)</f>
        <v>0</v>
      </c>
      <c r="D61" s="214">
        <f>SUM(D57:D60)</f>
        <v>0</v>
      </c>
      <c r="E61" s="214">
        <f>SUM(E57:E60)</f>
        <v>0</v>
      </c>
      <c r="F61" s="214">
        <f>SUM(F57:F60)</f>
        <v>0</v>
      </c>
      <c r="G61" s="491"/>
    </row>
    <row r="62" spans="1:7" ht="25.5" customHeight="1" thickBot="1">
      <c r="A62" s="175" t="s">
        <v>30</v>
      </c>
      <c r="B62" s="215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211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210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212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213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211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212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215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211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210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210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210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210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210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210"/>
      <c r="C76" s="158"/>
      <c r="D76" s="158"/>
      <c r="E76" s="158"/>
      <c r="F76" s="159">
        <f t="shared" si="6"/>
        <v>0</v>
      </c>
      <c r="G76" s="156"/>
    </row>
    <row r="77" spans="1:7" ht="25.5" customHeight="1">
      <c r="B77" s="105"/>
      <c r="C77" s="105"/>
      <c r="D77" s="105"/>
      <c r="E77" s="105"/>
      <c r="F77" s="105"/>
      <c r="G77" s="105"/>
    </row>
    <row r="78" spans="1:7" ht="25.5" customHeight="1" thickBot="1">
      <c r="B78" s="105"/>
      <c r="C78" s="105"/>
      <c r="D78" s="105"/>
      <c r="E78" s="105"/>
      <c r="F78" s="105"/>
      <c r="G78" s="105"/>
    </row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118"/>
  <sheetViews>
    <sheetView zoomScale="50" zoomScaleNormal="30" workbookViewId="0">
      <selection activeCell="I16" sqref="I16"/>
    </sheetView>
  </sheetViews>
  <sheetFormatPr defaultColWidth="28.42578125" defaultRowHeight="25.5" customHeight="1"/>
  <cols>
    <col min="1" max="1" width="35.42578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SUM('9th'!A2+1)</f>
        <v>45879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>
        <v>613.79999999999995</v>
      </c>
      <c r="C8" s="152">
        <v>3043.55</v>
      </c>
      <c r="D8" s="355">
        <v>614</v>
      </c>
      <c r="E8" s="428">
        <v>3043.55</v>
      </c>
      <c r="F8" s="396">
        <f t="shared" si="1"/>
        <v>0.20000000000004547</v>
      </c>
      <c r="G8" s="417">
        <f t="shared" si="2"/>
        <v>0</v>
      </c>
      <c r="H8" s="390"/>
      <c r="I8" s="510">
        <v>200.92</v>
      </c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>
        <v>111.3</v>
      </c>
      <c r="C14" s="109">
        <v>753.48</v>
      </c>
      <c r="D14" s="353">
        <v>111.3</v>
      </c>
      <c r="E14" s="424">
        <v>753.48</v>
      </c>
      <c r="F14" s="397">
        <f t="shared" si="1"/>
        <v>0</v>
      </c>
      <c r="G14" s="418">
        <f t="shared" si="2"/>
        <v>0</v>
      </c>
      <c r="H14" s="388"/>
      <c r="I14" s="508">
        <v>75.599999999999994</v>
      </c>
    </row>
    <row r="15" spans="1:9" ht="25.5" customHeight="1">
      <c r="A15" s="283" t="s">
        <v>88</v>
      </c>
      <c r="B15" s="325">
        <v>45.6</v>
      </c>
      <c r="C15" s="109">
        <v>359.04</v>
      </c>
      <c r="D15" s="353">
        <v>45.6</v>
      </c>
      <c r="E15" s="424">
        <v>359.04</v>
      </c>
      <c r="F15" s="397">
        <f t="shared" si="1"/>
        <v>0</v>
      </c>
      <c r="G15" s="418">
        <f t="shared" si="2"/>
        <v>0</v>
      </c>
      <c r="H15" s="388"/>
      <c r="I15" s="508">
        <v>28.03</v>
      </c>
    </row>
    <row r="16" spans="1:9" ht="25.5" customHeight="1">
      <c r="A16" s="283" t="s">
        <v>107</v>
      </c>
      <c r="B16" s="325">
        <v>381.6</v>
      </c>
      <c r="C16" s="109">
        <v>2163.41</v>
      </c>
      <c r="D16" s="353">
        <v>381.6</v>
      </c>
      <c r="E16" s="424">
        <v>2163.41</v>
      </c>
      <c r="F16" s="397">
        <f t="shared" si="1"/>
        <v>0</v>
      </c>
      <c r="G16" s="418">
        <f t="shared" si="2"/>
        <v>0</v>
      </c>
      <c r="H16" s="388"/>
      <c r="I16" s="508">
        <v>168.3</v>
      </c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1152.3</v>
      </c>
      <c r="C18" s="359">
        <f t="shared" ref="C18:H18" si="3">SUM(C8:C17)</f>
        <v>6319.4800000000005</v>
      </c>
      <c r="D18" s="359">
        <f t="shared" si="3"/>
        <v>1152.5</v>
      </c>
      <c r="E18" s="359">
        <f t="shared" si="3"/>
        <v>6319.4800000000005</v>
      </c>
      <c r="F18" s="359">
        <f t="shared" si="3"/>
        <v>0.20000000000004547</v>
      </c>
      <c r="G18" s="359">
        <f t="shared" si="3"/>
        <v>0</v>
      </c>
      <c r="H18" s="359">
        <f t="shared" si="3"/>
        <v>0</v>
      </c>
      <c r="I18" s="359">
        <f>SUM(I8:I17)</f>
        <v>472.84999999999997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1152.3</v>
      </c>
      <c r="C23" s="290">
        <f>SUM(C3+C4+C5+C6+C7+C18+C19+C20+C21+C22)</f>
        <v>6319.4800000000005</v>
      </c>
      <c r="D23" s="290">
        <f>SUM(D3+D4+D5+D6+D7+D18+D19+D20+D21+D22)-491.2-580</f>
        <v>81.299999999999955</v>
      </c>
      <c r="E23" s="290">
        <f>SUM(E3+E4+E5+E6+E7+E18+E19+E20+E21+E22)</f>
        <v>6319.4800000000005</v>
      </c>
      <c r="F23" s="290">
        <f>SUM(F3+F4+F5+F6+F7+F18+F19+F20+F21+F22)</f>
        <v>0.20000000000004547</v>
      </c>
      <c r="G23" s="290">
        <f>SUM(G3+G4+G5+G6+G7+G18+G19+G20+G21+G22)</f>
        <v>0</v>
      </c>
      <c r="H23" s="290">
        <f t="shared" ref="H23" si="4">SUM(H3+H4+H5+H6+H7+H18+H19+H20+H21+H22)</f>
        <v>0</v>
      </c>
      <c r="I23" s="290">
        <f>SUM(I3+I4+I5+I6+I7+I18+I19+I20+I21+I22)</f>
        <v>472.84999999999997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212</v>
      </c>
      <c r="B26" s="464"/>
      <c r="C26" s="1">
        <v>491.2</v>
      </c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214</v>
      </c>
      <c r="B27" s="465"/>
      <c r="C27" s="1">
        <v>580</v>
      </c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/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6999.13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SUM(D23+'9th'!I30-'10th'!H25)</f>
        <v>468.78999999999957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211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210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210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210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210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210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214">
        <f>SUM(B49:B54)</f>
        <v>0</v>
      </c>
      <c r="C55" s="214">
        <f>SUM(C49:C54)</f>
        <v>0</v>
      </c>
      <c r="D55" s="214">
        <f>SUM(D49:D54)</f>
        <v>0</v>
      </c>
      <c r="E55" s="214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215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211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210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210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210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214">
        <f>SUM(B57:B60)</f>
        <v>0</v>
      </c>
      <c r="C61" s="214">
        <f>SUM(C57:C60)</f>
        <v>0</v>
      </c>
      <c r="D61" s="214">
        <f>SUM(D57:D60)</f>
        <v>0</v>
      </c>
      <c r="E61" s="214">
        <f>SUM(E57:E60)</f>
        <v>0</v>
      </c>
      <c r="F61" s="214">
        <f>SUM(F57:F60)</f>
        <v>0</v>
      </c>
      <c r="G61" s="491"/>
    </row>
    <row r="62" spans="1:7" ht="25.5" customHeight="1" thickBot="1">
      <c r="A62" s="175" t="s">
        <v>30</v>
      </c>
      <c r="B62" s="215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211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210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212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213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211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212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215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211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210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210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210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210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210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210"/>
      <c r="C76" s="158"/>
      <c r="D76" s="158"/>
      <c r="E76" s="158"/>
      <c r="F76" s="159">
        <f t="shared" si="6"/>
        <v>0</v>
      </c>
      <c r="G76" s="156"/>
    </row>
    <row r="77" spans="1:7" ht="25.5" customHeight="1">
      <c r="B77" s="105"/>
      <c r="C77" s="105"/>
      <c r="D77" s="105"/>
      <c r="E77" s="105"/>
      <c r="F77" s="105"/>
      <c r="G77" s="105"/>
    </row>
    <row r="78" spans="1:7" ht="25.5" customHeight="1" thickBot="1">
      <c r="B78" s="105"/>
      <c r="C78" s="105"/>
      <c r="D78" s="105"/>
      <c r="E78" s="105"/>
      <c r="F78" s="105"/>
      <c r="G78" s="105"/>
    </row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scale="21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118"/>
  <sheetViews>
    <sheetView zoomScale="50" zoomScaleNormal="30" workbookViewId="0">
      <selection activeCell="D24" sqref="D24"/>
    </sheetView>
  </sheetViews>
  <sheetFormatPr defaultColWidth="28.42578125" defaultRowHeight="25.5" customHeight="1"/>
  <cols>
    <col min="1" max="1" width="35.5703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SUM('10th'!A2+1)</f>
        <v>45880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>
        <v>138.9</v>
      </c>
      <c r="C3" s="269">
        <v>546.92999999999995</v>
      </c>
      <c r="D3" s="352">
        <v>138.9</v>
      </c>
      <c r="E3" s="423">
        <v>546.92999999999995</v>
      </c>
      <c r="F3" s="396">
        <f>D3-B3</f>
        <v>0</v>
      </c>
      <c r="G3" s="417">
        <f>E3-C3</f>
        <v>0</v>
      </c>
      <c r="H3" s="387"/>
      <c r="I3" s="506">
        <v>51.14</v>
      </c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2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>
        <v>207.6</v>
      </c>
      <c r="C5" s="109">
        <v>2511.15</v>
      </c>
      <c r="D5" s="353">
        <v>207.6</v>
      </c>
      <c r="E5" s="424">
        <v>2511.15</v>
      </c>
      <c r="F5" s="397">
        <f t="shared" si="1"/>
        <v>0</v>
      </c>
      <c r="G5" s="418">
        <f t="shared" si="2"/>
        <v>0</v>
      </c>
      <c r="H5" s="388"/>
      <c r="I5" s="507">
        <v>188.66</v>
      </c>
    </row>
    <row r="6" spans="1:9" ht="25.5" customHeight="1">
      <c r="A6" s="300" t="s">
        <v>78</v>
      </c>
      <c r="B6" s="325">
        <v>123.3</v>
      </c>
      <c r="C6" s="109">
        <v>963.96</v>
      </c>
      <c r="D6" s="353">
        <f>123.3</f>
        <v>123.3</v>
      </c>
      <c r="E6" s="424">
        <v>963.96</v>
      </c>
      <c r="F6" s="397">
        <f t="shared" si="1"/>
        <v>0</v>
      </c>
      <c r="G6" s="418">
        <f t="shared" si="2"/>
        <v>0</v>
      </c>
      <c r="H6" s="388"/>
      <c r="I6" s="508">
        <v>78.94</v>
      </c>
    </row>
    <row r="7" spans="1:9" ht="25.5" customHeight="1" thickBot="1">
      <c r="A7" s="741" t="s">
        <v>143</v>
      </c>
      <c r="B7" s="326">
        <v>133.9</v>
      </c>
      <c r="C7" s="270">
        <v>794.6</v>
      </c>
      <c r="D7" s="354">
        <v>133.9</v>
      </c>
      <c r="E7" s="425">
        <v>794.6</v>
      </c>
      <c r="F7" s="400">
        <f t="shared" si="1"/>
        <v>0</v>
      </c>
      <c r="G7" s="419">
        <f t="shared" si="2"/>
        <v>0</v>
      </c>
      <c r="H7" s="389"/>
      <c r="I7" s="509">
        <v>59.83</v>
      </c>
    </row>
    <row r="8" spans="1:9" ht="25.5" customHeight="1">
      <c r="A8" s="333" t="s">
        <v>82</v>
      </c>
      <c r="B8" s="327">
        <v>484.6</v>
      </c>
      <c r="C8" s="152">
        <v>3528.4</v>
      </c>
      <c r="D8" s="355">
        <f>300+160+4.6+20</f>
        <v>484.6</v>
      </c>
      <c r="E8" s="428">
        <v>3528.4</v>
      </c>
      <c r="F8" s="396">
        <f t="shared" si="1"/>
        <v>0</v>
      </c>
      <c r="G8" s="417">
        <f t="shared" si="2"/>
        <v>0</v>
      </c>
      <c r="H8" s="390"/>
      <c r="I8" s="510">
        <v>248.15</v>
      </c>
    </row>
    <row r="9" spans="1:9" ht="25.5" customHeight="1">
      <c r="A9" s="300" t="s">
        <v>83</v>
      </c>
      <c r="B9" s="325">
        <v>196.3</v>
      </c>
      <c r="C9" s="109">
        <v>1723.09</v>
      </c>
      <c r="D9" s="353">
        <v>196.3</v>
      </c>
      <c r="E9" s="424">
        <v>1723.09</v>
      </c>
      <c r="F9" s="397">
        <f>D9-B9+B40</f>
        <v>175</v>
      </c>
      <c r="G9" s="418">
        <f t="shared" si="2"/>
        <v>0</v>
      </c>
      <c r="H9" s="388"/>
      <c r="I9" s="508">
        <v>124.63</v>
      </c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>
        <v>196</v>
      </c>
      <c r="C11" s="109">
        <v>1801.72</v>
      </c>
      <c r="D11" s="353">
        <v>196</v>
      </c>
      <c r="E11" s="424">
        <v>1801.72</v>
      </c>
      <c r="F11" s="397">
        <f t="shared" si="1"/>
        <v>0</v>
      </c>
      <c r="G11" s="418">
        <f t="shared" si="2"/>
        <v>0</v>
      </c>
      <c r="H11" s="388"/>
      <c r="I11" s="508">
        <v>143.26</v>
      </c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>
        <v>94.1</v>
      </c>
      <c r="C13" s="109">
        <v>599.41</v>
      </c>
      <c r="D13" s="353">
        <v>94.1</v>
      </c>
      <c r="E13" s="424">
        <v>599.41</v>
      </c>
      <c r="F13" s="397">
        <f t="shared" si="1"/>
        <v>0</v>
      </c>
      <c r="G13" s="418">
        <f t="shared" si="2"/>
        <v>0</v>
      </c>
      <c r="H13" s="388"/>
      <c r="I13" s="508">
        <v>51.12</v>
      </c>
    </row>
    <row r="14" spans="1:9" ht="25.5" customHeight="1">
      <c r="A14" s="283" t="s">
        <v>87</v>
      </c>
      <c r="B14" s="325">
        <v>185</v>
      </c>
      <c r="C14" s="109">
        <v>1272.1600000000001</v>
      </c>
      <c r="D14" s="353">
        <f>50+120+15</f>
        <v>185</v>
      </c>
      <c r="E14" s="424">
        <v>1272.1600000000001</v>
      </c>
      <c r="F14" s="397">
        <f t="shared" si="1"/>
        <v>0</v>
      </c>
      <c r="G14" s="418">
        <f t="shared" si="2"/>
        <v>0</v>
      </c>
      <c r="H14" s="388"/>
      <c r="I14" s="508">
        <v>130.16</v>
      </c>
    </row>
    <row r="15" spans="1:9" ht="25.5" customHeight="1">
      <c r="A15" s="283" t="s">
        <v>88</v>
      </c>
      <c r="B15" s="325">
        <v>73.599999999999994</v>
      </c>
      <c r="C15" s="109">
        <v>766.43</v>
      </c>
      <c r="D15" s="353">
        <v>73.599999999999994</v>
      </c>
      <c r="E15" s="424">
        <v>766.43</v>
      </c>
      <c r="F15" s="397">
        <f t="shared" si="1"/>
        <v>0</v>
      </c>
      <c r="G15" s="418">
        <f t="shared" si="2"/>
        <v>0</v>
      </c>
      <c r="H15" s="388"/>
      <c r="I15" s="508">
        <v>74.66</v>
      </c>
    </row>
    <row r="16" spans="1:9" ht="25.5" customHeight="1">
      <c r="A16" s="283" t="s">
        <v>107</v>
      </c>
      <c r="B16" s="325">
        <v>1011</v>
      </c>
      <c r="C16" s="109">
        <v>5395.31</v>
      </c>
      <c r="D16" s="353">
        <f>800+100+110+1.7</f>
        <v>1011.7</v>
      </c>
      <c r="E16" s="424">
        <v>5395.31</v>
      </c>
      <c r="F16" s="397">
        <f t="shared" si="1"/>
        <v>0.70000000000004547</v>
      </c>
      <c r="G16" s="418">
        <f t="shared" si="2"/>
        <v>0</v>
      </c>
      <c r="H16" s="388"/>
      <c r="I16" s="508">
        <v>533.67999999999995</v>
      </c>
    </row>
    <row r="17" spans="1:9" ht="25.5" customHeight="1" thickBot="1">
      <c r="A17" s="406" t="s">
        <v>89</v>
      </c>
      <c r="B17" s="339">
        <v>111.1</v>
      </c>
      <c r="C17" s="340">
        <v>579.19000000000005</v>
      </c>
      <c r="D17" s="356">
        <v>120</v>
      </c>
      <c r="E17" s="429">
        <v>579.19000000000005</v>
      </c>
      <c r="F17" s="398">
        <f t="shared" si="1"/>
        <v>8.9000000000000057</v>
      </c>
      <c r="G17" s="419">
        <f>E17-C17</f>
        <v>0</v>
      </c>
      <c r="H17" s="407"/>
      <c r="I17" s="511">
        <v>1.08</v>
      </c>
    </row>
    <row r="18" spans="1:9" ht="25.5" customHeight="1" thickBot="1">
      <c r="A18" s="284" t="s">
        <v>151</v>
      </c>
      <c r="B18" s="359">
        <f>SUM(B8:B17)</f>
        <v>2351.6999999999998</v>
      </c>
      <c r="C18" s="359">
        <f t="shared" ref="C18:H18" si="3">SUM(C8:C17)</f>
        <v>15665.710000000001</v>
      </c>
      <c r="D18" s="359">
        <f t="shared" si="3"/>
        <v>2361.3000000000002</v>
      </c>
      <c r="E18" s="359">
        <f t="shared" si="3"/>
        <v>15665.710000000001</v>
      </c>
      <c r="F18" s="359">
        <f t="shared" si="3"/>
        <v>184.60000000000005</v>
      </c>
      <c r="G18" s="359">
        <f t="shared" si="3"/>
        <v>0</v>
      </c>
      <c r="H18" s="359">
        <f t="shared" si="3"/>
        <v>0</v>
      </c>
      <c r="I18" s="359">
        <f>SUM(I8:I17)</f>
        <v>1306.7399999999998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2955.3999999999996</v>
      </c>
      <c r="C23" s="290">
        <f>SUM(C3+C4+C5+C6+C7+C18+C19+C20+C21+C22)</f>
        <v>20482.350000000002</v>
      </c>
      <c r="D23" s="290">
        <f>SUM(D3+D4+D5+D6+D7+D18+D19+D20+D21+D22)-2965</f>
        <v>0</v>
      </c>
      <c r="E23" s="290">
        <f>SUM(E3+E4+E5+E6+E7+E18+E19+E20+E21+E22)</f>
        <v>20482.350000000002</v>
      </c>
      <c r="F23" s="290">
        <f>SUM(F3+F4+F5+F6+F7+F18+F19+F20+F21+F22)</f>
        <v>184.60000000000005</v>
      </c>
      <c r="G23" s="290">
        <f>SUM(G3+G4+G5+G6+G7+G18+G19+G20+G21+G22)</f>
        <v>0</v>
      </c>
      <c r="H23" s="290">
        <f t="shared" ref="H23" si="4">SUM(H3+H4+H5+H6+H7+H18+H19+H20+H21+H22)</f>
        <v>0</v>
      </c>
      <c r="I23" s="290">
        <f>SUM(I3+I4+I5+I6+I7+I18+I19+I20+I21+I22)</f>
        <v>1685.3099999999997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215</v>
      </c>
      <c r="B26" s="464">
        <v>175</v>
      </c>
      <c r="E26" s="437" t="s">
        <v>166</v>
      </c>
      <c r="F26" s="444"/>
      <c r="G26" s="450" t="s">
        <v>161</v>
      </c>
      <c r="H26" s="447"/>
    </row>
    <row r="27" spans="1:9" ht="28.5" customHeight="1" thickBot="1">
      <c r="A27" s="468" t="s">
        <v>216</v>
      </c>
      <c r="B27" s="465"/>
      <c r="C27" s="1">
        <v>2965</v>
      </c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21937.039999999997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SUM(D23+'10th'!I30-'11th'!H25)</f>
        <v>468.78999999999957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175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118"/>
  <sheetViews>
    <sheetView topLeftCell="A2" zoomScale="55" zoomScaleNormal="55" workbookViewId="0">
      <selection activeCell="D24" sqref="D24"/>
    </sheetView>
  </sheetViews>
  <sheetFormatPr defaultColWidth="28.42578125" defaultRowHeight="25.5" customHeight="1"/>
  <cols>
    <col min="1" max="1" width="35.42578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SUM('11th'!A2+1)</f>
        <v>45881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>
        <v>140.1</v>
      </c>
      <c r="C3" s="269">
        <v>754.61</v>
      </c>
      <c r="D3" s="352">
        <v>140.1</v>
      </c>
      <c r="E3" s="423">
        <v>754.61</v>
      </c>
      <c r="F3" s="396">
        <f>D3-B3</f>
        <v>0</v>
      </c>
      <c r="G3" s="417">
        <f>E3-C3</f>
        <v>0</v>
      </c>
      <c r="H3" s="387"/>
      <c r="I3" s="506">
        <v>64.37</v>
      </c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2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>
        <v>257.8</v>
      </c>
      <c r="C5" s="109">
        <v>2371.1</v>
      </c>
      <c r="D5" s="353">
        <v>257.8</v>
      </c>
      <c r="E5" s="424">
        <v>2371.1</v>
      </c>
      <c r="F5" s="397">
        <f t="shared" si="1"/>
        <v>0</v>
      </c>
      <c r="G5" s="418">
        <f t="shared" si="2"/>
        <v>0</v>
      </c>
      <c r="H5" s="388"/>
      <c r="I5" s="507">
        <v>192.99</v>
      </c>
    </row>
    <row r="6" spans="1:9" ht="25.5" customHeight="1">
      <c r="A6" s="300" t="s">
        <v>78</v>
      </c>
      <c r="B6" s="325">
        <v>148.1</v>
      </c>
      <c r="C6" s="109">
        <v>939.6</v>
      </c>
      <c r="D6" s="353">
        <v>148.1</v>
      </c>
      <c r="E6" s="424">
        <v>939.6</v>
      </c>
      <c r="F6" s="397">
        <f t="shared" si="1"/>
        <v>0</v>
      </c>
      <c r="G6" s="418">
        <f t="shared" si="2"/>
        <v>0</v>
      </c>
      <c r="H6" s="388"/>
      <c r="I6" s="508">
        <v>76.02</v>
      </c>
    </row>
    <row r="7" spans="1:9" ht="25.5" customHeight="1" thickBot="1">
      <c r="A7" s="741" t="s">
        <v>143</v>
      </c>
      <c r="B7" s="326">
        <v>159.6</v>
      </c>
      <c r="C7" s="270">
        <v>843.16</v>
      </c>
      <c r="D7" s="354">
        <v>159.6</v>
      </c>
      <c r="E7" s="425">
        <v>843.16</v>
      </c>
      <c r="F7" s="400">
        <f t="shared" si="1"/>
        <v>0</v>
      </c>
      <c r="G7" s="419">
        <f t="shared" si="2"/>
        <v>0</v>
      </c>
      <c r="H7" s="389"/>
      <c r="I7" s="509">
        <v>69.69</v>
      </c>
    </row>
    <row r="8" spans="1:9" ht="25.5" customHeight="1">
      <c r="A8" s="333" t="s">
        <v>82</v>
      </c>
      <c r="B8" s="327">
        <v>703.1</v>
      </c>
      <c r="C8" s="152">
        <v>3041.74</v>
      </c>
      <c r="D8" s="355">
        <f>703.1</f>
        <v>703.1</v>
      </c>
      <c r="E8" s="428">
        <v>3041.74</v>
      </c>
      <c r="F8" s="396">
        <f t="shared" si="1"/>
        <v>0</v>
      </c>
      <c r="G8" s="417">
        <f t="shared" si="2"/>
        <v>0</v>
      </c>
      <c r="H8" s="390"/>
      <c r="I8" s="510">
        <v>226.07</v>
      </c>
    </row>
    <row r="9" spans="1:9" ht="25.5" customHeight="1">
      <c r="A9" s="300" t="s">
        <v>83</v>
      </c>
      <c r="B9" s="325">
        <v>304.2</v>
      </c>
      <c r="C9" s="109">
        <v>1855.73</v>
      </c>
      <c r="D9" s="353">
        <f>304.5</f>
        <v>304.5</v>
      </c>
      <c r="E9" s="424">
        <v>1855.73</v>
      </c>
      <c r="F9" s="397">
        <f>D9-B9+B40</f>
        <v>0.30000000000001137</v>
      </c>
      <c r="G9" s="418">
        <f t="shared" si="2"/>
        <v>0</v>
      </c>
      <c r="H9" s="388"/>
      <c r="I9" s="508">
        <v>128.71</v>
      </c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>
        <v>253</v>
      </c>
      <c r="C11" s="109">
        <v>1932.1</v>
      </c>
      <c r="D11" s="353">
        <v>253</v>
      </c>
      <c r="E11" s="424">
        <v>1932.71</v>
      </c>
      <c r="F11" s="397">
        <f t="shared" si="1"/>
        <v>0</v>
      </c>
      <c r="G11" s="418">
        <f t="shared" si="2"/>
        <v>0.61000000000012733</v>
      </c>
      <c r="H11" s="388"/>
      <c r="I11" s="508">
        <v>150.33000000000001</v>
      </c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>
        <v>144.30000000000001</v>
      </c>
      <c r="C13" s="109">
        <v>770.75</v>
      </c>
      <c r="D13" s="353">
        <v>144.30000000000001</v>
      </c>
      <c r="E13" s="424">
        <v>770.75</v>
      </c>
      <c r="F13" s="397">
        <f t="shared" si="1"/>
        <v>0</v>
      </c>
      <c r="G13" s="418">
        <f t="shared" si="2"/>
        <v>0</v>
      </c>
      <c r="H13" s="388"/>
      <c r="I13" s="508">
        <v>68.53</v>
      </c>
    </row>
    <row r="14" spans="1:9" ht="25.5" customHeight="1">
      <c r="A14" s="283" t="s">
        <v>87</v>
      </c>
      <c r="B14" s="325">
        <v>165.8</v>
      </c>
      <c r="C14" s="109">
        <v>1033.48</v>
      </c>
      <c r="D14" s="353">
        <v>183</v>
      </c>
      <c r="E14" s="424">
        <v>1033.48</v>
      </c>
      <c r="F14" s="397">
        <f t="shared" si="1"/>
        <v>17.199999999999989</v>
      </c>
      <c r="G14" s="418">
        <f t="shared" si="2"/>
        <v>0</v>
      </c>
      <c r="H14" s="388"/>
      <c r="I14" s="508" t="s">
        <v>217</v>
      </c>
    </row>
    <row r="15" spans="1:9" ht="25.5" customHeight="1">
      <c r="A15" s="283" t="s">
        <v>88</v>
      </c>
      <c r="B15" s="325">
        <v>72.599999999999994</v>
      </c>
      <c r="C15" s="109">
        <v>1150.25</v>
      </c>
      <c r="D15" s="353">
        <v>71.400000000000006</v>
      </c>
      <c r="E15" s="424">
        <v>1150.25</v>
      </c>
      <c r="F15" s="397">
        <f t="shared" si="1"/>
        <v>-1.1999999999999886</v>
      </c>
      <c r="G15" s="418">
        <f t="shared" si="2"/>
        <v>0</v>
      </c>
      <c r="H15" s="388"/>
      <c r="I15" s="508">
        <v>108.39</v>
      </c>
    </row>
    <row r="16" spans="1:9" ht="25.5" customHeight="1">
      <c r="A16" s="283" t="s">
        <v>107</v>
      </c>
      <c r="B16" s="325">
        <v>1017.2</v>
      </c>
      <c r="C16" s="109">
        <v>5380.67</v>
      </c>
      <c r="D16" s="353">
        <v>1017.2</v>
      </c>
      <c r="E16" s="424">
        <v>5380.67</v>
      </c>
      <c r="F16" s="397">
        <f t="shared" si="1"/>
        <v>0</v>
      </c>
      <c r="G16" s="418">
        <f t="shared" si="2"/>
        <v>0</v>
      </c>
      <c r="H16" s="388"/>
      <c r="I16" s="508">
        <v>522.41999999999996</v>
      </c>
    </row>
    <row r="17" spans="1:9" ht="25.5" customHeight="1" thickBot="1">
      <c r="A17" s="406" t="s">
        <v>89</v>
      </c>
      <c r="B17" s="339">
        <v>217</v>
      </c>
      <c r="C17" s="340">
        <v>757.88</v>
      </c>
      <c r="D17" s="356">
        <v>218.7</v>
      </c>
      <c r="E17" s="429">
        <v>757.88</v>
      </c>
      <c r="F17" s="398">
        <f t="shared" si="1"/>
        <v>1.6999999999999886</v>
      </c>
      <c r="G17" s="419">
        <f>E17-C17</f>
        <v>0</v>
      </c>
      <c r="H17" s="407"/>
      <c r="I17" s="511">
        <v>2.35</v>
      </c>
    </row>
    <row r="18" spans="1:9" ht="25.5" customHeight="1" thickBot="1">
      <c r="A18" s="284" t="s">
        <v>151</v>
      </c>
      <c r="B18" s="359">
        <f>SUM(B8:B17)</f>
        <v>2877.2</v>
      </c>
      <c r="C18" s="359">
        <f t="shared" ref="C18:H18" si="3">SUM(C8:C17)</f>
        <v>15922.599999999999</v>
      </c>
      <c r="D18" s="359">
        <f t="shared" si="3"/>
        <v>2895.2</v>
      </c>
      <c r="E18" s="359">
        <f t="shared" si="3"/>
        <v>15923.21</v>
      </c>
      <c r="F18" s="359">
        <f t="shared" si="3"/>
        <v>18</v>
      </c>
      <c r="G18" s="359">
        <f t="shared" si="3"/>
        <v>0.61000000000012733</v>
      </c>
      <c r="H18" s="359">
        <f t="shared" si="3"/>
        <v>0</v>
      </c>
      <c r="I18" s="359">
        <f>SUM(I8:I17)</f>
        <v>1206.7999999999997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3582.7999999999997</v>
      </c>
      <c r="C23" s="290">
        <f>SUM(C3+C4+C5+C6+C7+C18+C19+C20+C21+C22)</f>
        <v>20831.07</v>
      </c>
      <c r="D23" s="290">
        <f>SUM(D3+D4+D5+D6+D7+D18+D19+D20+D21+D22)-1381.75-745.8-720-496-156-70</f>
        <v>31.249999999999773</v>
      </c>
      <c r="E23" s="290">
        <f>SUM(E3+E4+E5+E6+E7+E18+E19+E20+E21+E22)</f>
        <v>20831.68</v>
      </c>
      <c r="F23" s="290">
        <f>SUM(F3+F4+F5+F6+F7+F18+F19+F20+F21+F22)</f>
        <v>18</v>
      </c>
      <c r="G23" s="290">
        <f>SUM(G3+G4+G5+G6+G7+G18+G19+G20+G21+G22)</f>
        <v>0.61000000000012733</v>
      </c>
      <c r="H23" s="290">
        <f t="shared" ref="H23" si="4">SUM(H3+H4+H5+H6+H7+H18+H19+H20+H21+H22)</f>
        <v>0</v>
      </c>
      <c r="I23" s="290">
        <f>SUM(I3+I4+I5+I6+I7+I18+I19+I20+I21+I22)</f>
        <v>1609.8699999999997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218</v>
      </c>
      <c r="B26" s="464"/>
      <c r="C26" s="1">
        <v>1381.75</v>
      </c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219</v>
      </c>
      <c r="B27" s="465"/>
      <c r="C27" s="1">
        <v>745.8</v>
      </c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220</v>
      </c>
      <c r="B28" s="465"/>
      <c r="C28" s="106">
        <v>718.15</v>
      </c>
    </row>
    <row r="29" spans="1:9" ht="25.5" customHeight="1" thickBot="1">
      <c r="A29" s="468" t="s">
        <v>221</v>
      </c>
      <c r="B29" s="465"/>
      <c r="C29" s="160">
        <v>496</v>
      </c>
      <c r="D29" s="108"/>
      <c r="E29" s="105"/>
      <c r="F29" s="105"/>
      <c r="H29" s="460" t="s">
        <v>168</v>
      </c>
      <c r="I29" s="461">
        <f>SUM(B23+C23+G23+F23+H23-I23)</f>
        <v>22822.61</v>
      </c>
    </row>
    <row r="30" spans="1:9" ht="25.5" customHeight="1" thickBot="1">
      <c r="A30" s="468" t="s">
        <v>222</v>
      </c>
      <c r="B30" s="465"/>
      <c r="C30" s="157">
        <v>156</v>
      </c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SUM(D23+'11th'!I30-'12th'!H25)</f>
        <v>500.03999999999934</v>
      </c>
    </row>
    <row r="31" spans="1:9" ht="25.5" customHeight="1">
      <c r="A31" s="468" t="s">
        <v>223</v>
      </c>
      <c r="B31" s="465"/>
      <c r="C31" s="157">
        <v>70</v>
      </c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211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210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210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210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210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210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214">
        <f>SUM(B49:B54)</f>
        <v>0</v>
      </c>
      <c r="C55" s="214">
        <f>SUM(C49:C54)</f>
        <v>0</v>
      </c>
      <c r="D55" s="214">
        <f>SUM(D49:D54)</f>
        <v>0</v>
      </c>
      <c r="E55" s="214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215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211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210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210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210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214">
        <f>SUM(B57:B60)</f>
        <v>0</v>
      </c>
      <c r="C61" s="214">
        <f>SUM(C57:C60)</f>
        <v>0</v>
      </c>
      <c r="D61" s="214">
        <f>SUM(D57:D60)</f>
        <v>0</v>
      </c>
      <c r="E61" s="214">
        <f>SUM(E57:E60)</f>
        <v>0</v>
      </c>
      <c r="F61" s="214">
        <f>SUM(F57:F60)</f>
        <v>0</v>
      </c>
      <c r="G61" s="491"/>
    </row>
    <row r="62" spans="1:7" ht="25.5" customHeight="1" thickBot="1">
      <c r="A62" s="175" t="s">
        <v>30</v>
      </c>
      <c r="B62" s="215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211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210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212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213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211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212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215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211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210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210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210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210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210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210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3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118"/>
  <sheetViews>
    <sheetView zoomScale="48" zoomScaleNormal="30" workbookViewId="0">
      <selection activeCell="D23" sqref="D23"/>
    </sheetView>
  </sheetViews>
  <sheetFormatPr defaultColWidth="28.42578125" defaultRowHeight="25.5" customHeight="1"/>
  <cols>
    <col min="1" max="1" width="35.42578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SUM('12th'!A2+1)</f>
        <v>45882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>
        <v>99.2</v>
      </c>
      <c r="C3" s="269">
        <v>769.87</v>
      </c>
      <c r="D3" s="352">
        <v>100</v>
      </c>
      <c r="E3" s="423">
        <v>767.87</v>
      </c>
      <c r="F3" s="396">
        <f>D3-B3</f>
        <v>0.79999999999999716</v>
      </c>
      <c r="G3" s="417">
        <f>E3-C3</f>
        <v>-2</v>
      </c>
      <c r="H3" s="387"/>
      <c r="I3" s="506">
        <v>61.97</v>
      </c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2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>
        <v>378.9</v>
      </c>
      <c r="C5" s="109">
        <v>2230.71</v>
      </c>
      <c r="D5" s="353">
        <v>377</v>
      </c>
      <c r="E5" s="424">
        <v>2230.71</v>
      </c>
      <c r="F5" s="397">
        <f t="shared" si="1"/>
        <v>-1.8999999999999773</v>
      </c>
      <c r="G5" s="418">
        <f t="shared" si="2"/>
        <v>0</v>
      </c>
      <c r="H5" s="388"/>
      <c r="I5" s="507">
        <v>186.82</v>
      </c>
    </row>
    <row r="6" spans="1:9" ht="25.5" customHeight="1">
      <c r="A6" s="300" t="s">
        <v>78</v>
      </c>
      <c r="B6" s="325">
        <v>250.2</v>
      </c>
      <c r="C6" s="109">
        <v>1219.3</v>
      </c>
      <c r="D6" s="353">
        <v>250.2</v>
      </c>
      <c r="E6" s="424">
        <v>1219.3</v>
      </c>
      <c r="F6" s="397">
        <f t="shared" si="1"/>
        <v>0</v>
      </c>
      <c r="G6" s="418">
        <f t="shared" si="2"/>
        <v>0</v>
      </c>
      <c r="H6" s="388"/>
      <c r="I6" s="508">
        <v>106.16</v>
      </c>
    </row>
    <row r="7" spans="1:9" ht="25.5" customHeight="1" thickBot="1">
      <c r="A7" s="741" t="s">
        <v>143</v>
      </c>
      <c r="B7" s="326">
        <v>100.2</v>
      </c>
      <c r="C7" s="270">
        <v>941.98</v>
      </c>
      <c r="D7" s="354">
        <v>100.2</v>
      </c>
      <c r="E7" s="425">
        <v>941.98</v>
      </c>
      <c r="F7" s="400">
        <f t="shared" si="1"/>
        <v>0</v>
      </c>
      <c r="G7" s="419">
        <f t="shared" si="2"/>
        <v>0</v>
      </c>
      <c r="H7" s="389"/>
      <c r="I7" s="509">
        <v>67.569999999999993</v>
      </c>
    </row>
    <row r="8" spans="1:9" ht="25.5" customHeight="1">
      <c r="A8" s="333" t="s">
        <v>82</v>
      </c>
      <c r="B8" s="327">
        <v>592.5</v>
      </c>
      <c r="C8" s="152">
        <v>3598</v>
      </c>
      <c r="D8" s="355">
        <v>592.5</v>
      </c>
      <c r="E8" s="428">
        <v>3598</v>
      </c>
      <c r="F8" s="396">
        <f t="shared" si="1"/>
        <v>0</v>
      </c>
      <c r="G8" s="417">
        <f t="shared" si="2"/>
        <v>0</v>
      </c>
      <c r="H8" s="390"/>
      <c r="I8" s="510">
        <v>258.88</v>
      </c>
    </row>
    <row r="9" spans="1:9" ht="25.5" customHeight="1">
      <c r="A9" s="300" t="s">
        <v>83</v>
      </c>
      <c r="B9" s="325">
        <v>249.5</v>
      </c>
      <c r="C9" s="109">
        <v>1534.22</v>
      </c>
      <c r="D9" s="353">
        <f>249.5</f>
        <v>249.5</v>
      </c>
      <c r="E9" s="424">
        <v>1534.22</v>
      </c>
      <c r="F9" s="397">
        <f>D9-B9+B40</f>
        <v>0</v>
      </c>
      <c r="G9" s="418">
        <f t="shared" si="2"/>
        <v>0</v>
      </c>
      <c r="H9" s="388"/>
      <c r="I9" s="508">
        <v>105.3</v>
      </c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>
        <v>482</v>
      </c>
      <c r="C11" s="109">
        <v>2211.6</v>
      </c>
      <c r="D11" s="353">
        <v>482</v>
      </c>
      <c r="E11" s="424">
        <v>2211.6</v>
      </c>
      <c r="F11" s="397">
        <f t="shared" si="1"/>
        <v>0</v>
      </c>
      <c r="G11" s="418">
        <f t="shared" si="2"/>
        <v>0</v>
      </c>
      <c r="H11" s="388"/>
      <c r="I11" s="508">
        <v>187.85</v>
      </c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>
        <v>126.7</v>
      </c>
      <c r="C13" s="109">
        <v>943.25</v>
      </c>
      <c r="D13" s="353">
        <v>134</v>
      </c>
      <c r="E13" s="424">
        <v>943.25</v>
      </c>
      <c r="F13" s="397">
        <f t="shared" si="1"/>
        <v>7.2999999999999972</v>
      </c>
      <c r="G13" s="418">
        <f t="shared" si="2"/>
        <v>0</v>
      </c>
      <c r="H13" s="388"/>
      <c r="I13" s="508">
        <v>72.400000000000006</v>
      </c>
    </row>
    <row r="14" spans="1:9" ht="25.5" customHeight="1">
      <c r="A14" s="283" t="s">
        <v>87</v>
      </c>
      <c r="B14" s="325">
        <v>44.7</v>
      </c>
      <c r="C14" s="109">
        <v>1299.03</v>
      </c>
      <c r="D14" s="353">
        <v>50.4</v>
      </c>
      <c r="E14" s="424">
        <v>1299.03</v>
      </c>
      <c r="F14" s="397">
        <f t="shared" si="1"/>
        <v>5.6999999999999957</v>
      </c>
      <c r="G14" s="418">
        <f t="shared" si="2"/>
        <v>0</v>
      </c>
      <c r="H14" s="388"/>
      <c r="I14" s="508">
        <v>121.55</v>
      </c>
    </row>
    <row r="15" spans="1:9" ht="25.5" customHeight="1">
      <c r="A15" s="283" t="s">
        <v>88</v>
      </c>
      <c r="B15" s="325">
        <v>68.5</v>
      </c>
      <c r="C15" s="109">
        <v>1289.1500000000001</v>
      </c>
      <c r="D15" s="353">
        <v>76.5</v>
      </c>
      <c r="E15" s="424">
        <v>1289.1500000000001</v>
      </c>
      <c r="F15" s="397">
        <f t="shared" si="1"/>
        <v>8</v>
      </c>
      <c r="G15" s="418">
        <f t="shared" si="2"/>
        <v>0</v>
      </c>
      <c r="H15" s="388"/>
      <c r="I15" s="508">
        <v>114.82</v>
      </c>
    </row>
    <row r="16" spans="1:9" ht="25.5" customHeight="1">
      <c r="A16" s="283" t="s">
        <v>107</v>
      </c>
      <c r="B16" s="325">
        <v>862.8</v>
      </c>
      <c r="C16" s="109">
        <v>5892.7</v>
      </c>
      <c r="D16" s="353">
        <f>874.9</f>
        <v>874.9</v>
      </c>
      <c r="E16" s="424">
        <v>5892.7</v>
      </c>
      <c r="F16" s="397">
        <f t="shared" si="1"/>
        <v>12.100000000000023</v>
      </c>
      <c r="G16" s="418">
        <f t="shared" si="2"/>
        <v>0</v>
      </c>
      <c r="H16" s="388"/>
      <c r="I16" s="508">
        <v>555.80999999999995</v>
      </c>
    </row>
    <row r="17" spans="1:9" ht="25.5" customHeight="1" thickBot="1">
      <c r="A17" s="406" t="s">
        <v>89</v>
      </c>
      <c r="B17" s="339">
        <v>210.4</v>
      </c>
      <c r="C17" s="340">
        <v>1299.45</v>
      </c>
      <c r="D17" s="356">
        <v>210.4</v>
      </c>
      <c r="E17" s="429">
        <v>1299.45</v>
      </c>
      <c r="F17" s="398">
        <f t="shared" si="1"/>
        <v>0</v>
      </c>
      <c r="G17" s="419">
        <f>E17-C17</f>
        <v>0</v>
      </c>
      <c r="H17" s="407"/>
      <c r="I17" s="511">
        <v>28.86</v>
      </c>
    </row>
    <row r="18" spans="1:9" ht="25.5" customHeight="1" thickBot="1">
      <c r="A18" s="284" t="s">
        <v>151</v>
      </c>
      <c r="B18" s="359">
        <f>SUM(B8:B17)</f>
        <v>2637.1</v>
      </c>
      <c r="C18" s="359">
        <f>SUM(C8:C17)</f>
        <v>18067.400000000001</v>
      </c>
      <c r="D18" s="359">
        <f t="shared" ref="D18:H18" si="3">SUM(D8:D17)</f>
        <v>2670.2000000000003</v>
      </c>
      <c r="E18" s="359">
        <f t="shared" si="3"/>
        <v>18067.400000000001</v>
      </c>
      <c r="F18" s="359">
        <f t="shared" si="3"/>
        <v>33.100000000000016</v>
      </c>
      <c r="G18" s="359">
        <f t="shared" si="3"/>
        <v>0</v>
      </c>
      <c r="H18" s="359">
        <f t="shared" si="3"/>
        <v>0</v>
      </c>
      <c r="I18" s="359">
        <f>SUM(I8:I17)</f>
        <v>1445.4699999999998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3465.6</v>
      </c>
      <c r="C23" s="290">
        <f>SUM(C3+C4+C5+C6+C7+C18+C19+C20+C21+C22)</f>
        <v>23229.260000000002</v>
      </c>
      <c r="D23" s="290">
        <f>SUM(D3+D4+D5+D6+D7+D18+D19+D20+D21+D22)-2167.1-611.7-565.3-114-22</f>
        <v>17.500000000000455</v>
      </c>
      <c r="E23" s="290">
        <f>SUM(E3+E4+E5+E6+E7+E18+E19+E20+E21+E22)</f>
        <v>23227.260000000002</v>
      </c>
      <c r="F23" s="290">
        <f>SUM(F3+F4+F5+F6+F7+F18+F19+F20+F21+F22)</f>
        <v>32.000000000000036</v>
      </c>
      <c r="G23" s="290">
        <f>SUM(G3+G4+G5+G6+G7+G18+G19+G20+G21+G22)</f>
        <v>-2</v>
      </c>
      <c r="H23" s="290">
        <f t="shared" ref="H23" si="4">SUM(H3+H4+H5+H6+H7+H18+H19+H20+H21+H22)</f>
        <v>0</v>
      </c>
      <c r="I23" s="290">
        <f>SUM(I3+I4+I5+I6+I7+I18+I19+I20+I21+I22)</f>
        <v>1867.9899999999998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224</v>
      </c>
      <c r="B26" s="464"/>
      <c r="C26" s="1">
        <v>2167.1</v>
      </c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225</v>
      </c>
      <c r="B27" s="465"/>
      <c r="C27" s="1">
        <v>611.70000000000005</v>
      </c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226</v>
      </c>
      <c r="B28" s="465"/>
      <c r="C28" s="106">
        <v>565.29999999999995</v>
      </c>
    </row>
    <row r="29" spans="1:9" ht="25.5" customHeight="1" thickBot="1">
      <c r="A29" s="468" t="s">
        <v>227</v>
      </c>
      <c r="B29" s="465"/>
      <c r="C29" s="160">
        <v>114.1</v>
      </c>
      <c r="D29" s="108"/>
      <c r="E29" s="105"/>
      <c r="F29" s="105"/>
      <c r="H29" s="460" t="s">
        <v>168</v>
      </c>
      <c r="I29" s="461">
        <f>SUM(B23+C23+G23+F23+H23-I23)</f>
        <v>24856.870000000003</v>
      </c>
    </row>
    <row r="30" spans="1:9" ht="25.5" customHeight="1" thickBot="1">
      <c r="A30" s="468" t="s">
        <v>205</v>
      </c>
      <c r="B30" s="465"/>
      <c r="C30" s="157">
        <v>22</v>
      </c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SUM(D23+'12th'!I30-'13th'!H25)</f>
        <v>517.53999999999974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118"/>
  <sheetViews>
    <sheetView tabSelected="1" zoomScale="51" zoomScaleNormal="30" workbookViewId="0">
      <selection activeCell="K25" sqref="K25"/>
    </sheetView>
  </sheetViews>
  <sheetFormatPr defaultColWidth="28.42578125" defaultRowHeight="25.5" customHeight="1"/>
  <cols>
    <col min="1" max="1" width="3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SUM('13th'!A2+1)</f>
        <v>45883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>
        <v>116.1</v>
      </c>
      <c r="C3" s="269">
        <v>727.76</v>
      </c>
      <c r="D3" s="352">
        <v>116.1</v>
      </c>
      <c r="E3" s="423">
        <v>727.26</v>
      </c>
      <c r="F3" s="396">
        <f>D3-B3</f>
        <v>0</v>
      </c>
      <c r="G3" s="417">
        <f>E3-C3</f>
        <v>-0.5</v>
      </c>
      <c r="H3" s="387"/>
      <c r="I3" s="506">
        <v>64.22</v>
      </c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>
        <v>126.1</v>
      </c>
      <c r="C5" s="109">
        <v>2897.77</v>
      </c>
      <c r="D5" s="353">
        <v>126.1</v>
      </c>
      <c r="E5" s="424">
        <v>2897.77</v>
      </c>
      <c r="F5" s="397">
        <f t="shared" si="1"/>
        <v>0</v>
      </c>
      <c r="G5" s="418">
        <f t="shared" si="2"/>
        <v>0</v>
      </c>
      <c r="H5" s="388"/>
      <c r="I5" s="507">
        <v>219.28</v>
      </c>
    </row>
    <row r="6" spans="1:9" ht="25.5" customHeight="1">
      <c r="A6" s="300" t="s">
        <v>78</v>
      </c>
      <c r="B6" s="325">
        <v>274.8</v>
      </c>
      <c r="C6" s="109">
        <v>1270.73</v>
      </c>
      <c r="D6" s="353">
        <v>274.8</v>
      </c>
      <c r="E6" s="424">
        <v>1270.73</v>
      </c>
      <c r="F6" s="397">
        <f t="shared" si="1"/>
        <v>0</v>
      </c>
      <c r="G6" s="418">
        <f t="shared" si="2"/>
        <v>0</v>
      </c>
      <c r="H6" s="388"/>
      <c r="I6" s="508">
        <v>114.27</v>
      </c>
    </row>
    <row r="7" spans="1:9" ht="25.5" customHeight="1" thickBot="1">
      <c r="A7" s="741" t="s">
        <v>143</v>
      </c>
      <c r="B7" s="326">
        <v>96.4</v>
      </c>
      <c r="C7" s="270">
        <v>1060.76</v>
      </c>
      <c r="D7" s="354">
        <v>96.4</v>
      </c>
      <c r="E7" s="425">
        <v>1060.76</v>
      </c>
      <c r="F7" s="400">
        <f t="shared" si="1"/>
        <v>0</v>
      </c>
      <c r="G7" s="419">
        <f t="shared" si="2"/>
        <v>0</v>
      </c>
      <c r="H7" s="389"/>
      <c r="I7" s="509">
        <v>82.95</v>
      </c>
    </row>
    <row r="8" spans="1:9" ht="25.5" customHeight="1">
      <c r="A8" s="333" t="s">
        <v>82</v>
      </c>
      <c r="B8" s="327">
        <v>618</v>
      </c>
      <c r="C8" s="152">
        <v>3882.47</v>
      </c>
      <c r="D8" s="355">
        <v>619.4</v>
      </c>
      <c r="E8" s="428">
        <v>3882.47</v>
      </c>
      <c r="F8" s="396">
        <f t="shared" si="1"/>
        <v>1.3999999999999773</v>
      </c>
      <c r="G8" s="417">
        <f t="shared" si="2"/>
        <v>0</v>
      </c>
      <c r="H8" s="390"/>
      <c r="I8" s="510">
        <v>277.62</v>
      </c>
    </row>
    <row r="9" spans="1:9" ht="25.5" customHeight="1">
      <c r="A9" s="300" t="s">
        <v>83</v>
      </c>
      <c r="B9" s="325">
        <v>338.1</v>
      </c>
      <c r="C9" s="109">
        <v>2080.29</v>
      </c>
      <c r="D9" s="353">
        <v>338.1</v>
      </c>
      <c r="E9" s="424">
        <v>2080.29</v>
      </c>
      <c r="F9" s="397">
        <f>D9-B9+B40</f>
        <v>0</v>
      </c>
      <c r="G9" s="418">
        <f t="shared" si="2"/>
        <v>0</v>
      </c>
      <c r="H9" s="388"/>
      <c r="I9" s="508">
        <v>151.71</v>
      </c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>
        <v>219.7</v>
      </c>
      <c r="C11" s="109">
        <v>2366.9</v>
      </c>
      <c r="D11" s="353">
        <v>220.65</v>
      </c>
      <c r="E11" s="424">
        <v>2366.9</v>
      </c>
      <c r="F11" s="397">
        <f t="shared" si="1"/>
        <v>0.95000000000001705</v>
      </c>
      <c r="G11" s="418">
        <f t="shared" si="2"/>
        <v>0</v>
      </c>
      <c r="H11" s="388"/>
      <c r="I11" s="508">
        <v>181.4</v>
      </c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>
        <v>83.3</v>
      </c>
      <c r="C13" s="109">
        <v>981.57</v>
      </c>
      <c r="D13" s="353">
        <v>84.3</v>
      </c>
      <c r="E13" s="424">
        <v>981.57</v>
      </c>
      <c r="F13" s="397">
        <f t="shared" si="1"/>
        <v>1</v>
      </c>
      <c r="G13" s="418">
        <f t="shared" si="2"/>
        <v>0</v>
      </c>
      <c r="H13" s="388"/>
      <c r="I13" s="508">
        <v>74.56</v>
      </c>
    </row>
    <row r="14" spans="1:9" ht="25.5" customHeight="1">
      <c r="A14" s="283" t="s">
        <v>87</v>
      </c>
      <c r="B14" s="325">
        <v>290.8</v>
      </c>
      <c r="C14" s="109">
        <v>1674.77</v>
      </c>
      <c r="D14" s="353">
        <v>290.8</v>
      </c>
      <c r="E14" s="424">
        <v>1674.77</v>
      </c>
      <c r="F14" s="397">
        <f t="shared" si="1"/>
        <v>0</v>
      </c>
      <c r="G14" s="418">
        <f t="shared" si="2"/>
        <v>0</v>
      </c>
      <c r="H14" s="388"/>
      <c r="I14" s="508">
        <v>172.31</v>
      </c>
    </row>
    <row r="15" spans="1:9" ht="25.5" customHeight="1">
      <c r="A15" s="283" t="s">
        <v>88</v>
      </c>
      <c r="B15" s="325">
        <v>297.5</v>
      </c>
      <c r="C15" s="109">
        <v>1597.61</v>
      </c>
      <c r="D15" s="353">
        <v>297.5</v>
      </c>
      <c r="E15" s="424">
        <v>1597.61</v>
      </c>
      <c r="F15" s="397">
        <f t="shared" si="1"/>
        <v>0</v>
      </c>
      <c r="G15" s="418">
        <f t="shared" si="2"/>
        <v>0</v>
      </c>
      <c r="H15" s="388"/>
      <c r="I15" s="508">
        <v>155.27000000000001</v>
      </c>
    </row>
    <row r="16" spans="1:9" ht="25.5" customHeight="1">
      <c r="A16" s="283" t="s">
        <v>107</v>
      </c>
      <c r="B16" s="325">
        <v>932.5</v>
      </c>
      <c r="C16" s="109">
        <v>6433.09</v>
      </c>
      <c r="D16" s="353">
        <f>933.5</f>
        <v>933.5</v>
      </c>
      <c r="E16" s="424">
        <v>6433.09</v>
      </c>
      <c r="F16" s="397">
        <f t="shared" si="1"/>
        <v>1</v>
      </c>
      <c r="G16" s="418">
        <f t="shared" si="2"/>
        <v>0</v>
      </c>
      <c r="H16" s="388"/>
      <c r="I16" s="508">
        <v>587.04999999999995</v>
      </c>
    </row>
    <row r="17" spans="1:9" ht="25.5" customHeight="1" thickBot="1">
      <c r="A17" s="406" t="s">
        <v>89</v>
      </c>
      <c r="B17" s="339">
        <v>231.1</v>
      </c>
      <c r="C17" s="340">
        <v>1098.3900000000001</v>
      </c>
      <c r="D17" s="356">
        <v>231.1</v>
      </c>
      <c r="E17" s="429">
        <v>1098.3900000000001</v>
      </c>
      <c r="F17" s="398">
        <f t="shared" si="1"/>
        <v>0</v>
      </c>
      <c r="G17" s="419">
        <f>E17-C17</f>
        <v>0</v>
      </c>
      <c r="H17" s="407"/>
      <c r="I17" s="511">
        <v>1.1499999999999999</v>
      </c>
    </row>
    <row r="18" spans="1:9" ht="25.5" customHeight="1" thickBot="1">
      <c r="A18" s="284" t="s">
        <v>151</v>
      </c>
      <c r="B18" s="359">
        <f>SUM(B8:B17)</f>
        <v>3010.9999999999995</v>
      </c>
      <c r="C18" s="359">
        <f t="shared" ref="C18:H18" si="3">SUM(C8:C17)</f>
        <v>20115.09</v>
      </c>
      <c r="D18" s="359">
        <f t="shared" si="3"/>
        <v>3015.35</v>
      </c>
      <c r="E18" s="359">
        <f t="shared" si="3"/>
        <v>20115.09</v>
      </c>
      <c r="F18" s="359">
        <f t="shared" si="3"/>
        <v>4.3499999999999943</v>
      </c>
      <c r="G18" s="359">
        <f t="shared" si="3"/>
        <v>0</v>
      </c>
      <c r="H18" s="359">
        <f t="shared" si="3"/>
        <v>0</v>
      </c>
      <c r="I18" s="359">
        <f>SUM(I8:I17)</f>
        <v>1601.07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3624.3999999999996</v>
      </c>
      <c r="C23" s="290">
        <f>SUM(C3+C4+C5+C6+C7+C18+C19+C20+C21+C22)</f>
        <v>26072.11</v>
      </c>
      <c r="D23" s="290">
        <f>SUM(D3+D4+D5+D6+D7+D18+D19+D20+D21+D22)-3255-323.4</f>
        <v>50.350000000000023</v>
      </c>
      <c r="E23" s="290">
        <f>SUM(E3+E4+E5+E6+E7+E18+E19+E20+E21+E22)</f>
        <v>26071.61</v>
      </c>
      <c r="F23" s="290">
        <f>SUM(F3+F4+F5+F6+F7+F18+F19+F20+F21+F22)</f>
        <v>4.3499999999999943</v>
      </c>
      <c r="G23" s="290">
        <f>SUM(G3+G4+G5+G6+G7+G18+G19+G20+G21+G22)</f>
        <v>-0.5</v>
      </c>
      <c r="H23" s="290">
        <f t="shared" ref="D23:H23" si="4">SUM(H3+H4+H5+H6+H7+H18+H19+H20+H21+H22)</f>
        <v>0</v>
      </c>
      <c r="I23" s="290">
        <f>SUM(I3+I4+I5+I6+I7+I18+I19+I20+I21+I22)</f>
        <v>2081.79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228</v>
      </c>
      <c r="B26" s="464"/>
      <c r="C26" s="1">
        <v>1525.8</v>
      </c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229</v>
      </c>
      <c r="B27" s="465"/>
      <c r="C27" s="1">
        <v>1729</v>
      </c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205</v>
      </c>
      <c r="B28" s="465"/>
      <c r="C28" s="106">
        <v>323.43</v>
      </c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27618.57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SUM(D23+'13th'!I30-'14th'!H25)</f>
        <v>567.88999999999976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3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18"/>
  <sheetViews>
    <sheetView topLeftCell="A2" zoomScale="54" zoomScaleNormal="30" workbookViewId="0">
      <selection activeCell="A3" sqref="A3:A24"/>
    </sheetView>
  </sheetViews>
  <sheetFormatPr defaultColWidth="28.42578125" defaultRowHeight="25.5" customHeight="1"/>
  <cols>
    <col min="1" max="1" width="35.285156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SUM('14th'!A2+1)</f>
        <v>45884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SUM(D23+'14th'!I30-'15th'!H25)</f>
        <v>567.88999999999976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118"/>
  <sheetViews>
    <sheetView zoomScale="44" zoomScaleNormal="30" workbookViewId="0">
      <selection activeCell="A3" sqref="A3:A24"/>
    </sheetView>
  </sheetViews>
  <sheetFormatPr defaultColWidth="28.42578125" defaultRowHeight="25.5" customHeight="1"/>
  <cols>
    <col min="1" max="1" width="35.5703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SUM('15th'!A2+1)</f>
        <v>45885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SUM(D23+'15th'!I30-'16th'!H25)</f>
        <v>567.88999999999976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118"/>
  <sheetViews>
    <sheetView zoomScale="64" zoomScaleNormal="30" workbookViewId="0">
      <selection activeCell="I19" sqref="I19"/>
    </sheetView>
  </sheetViews>
  <sheetFormatPr defaultColWidth="28.42578125" defaultRowHeight="25.5" customHeight="1"/>
  <cols>
    <col min="1" max="1" width="36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SUM('16th'!A2+1)</f>
        <v>45886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/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2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/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/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/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/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/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/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/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/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/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/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/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SUM(D23+'16th'!I30-'17th'!H25)</f>
        <v>567.88999999999976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3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118"/>
  <sheetViews>
    <sheetView zoomScale="54" zoomScaleNormal="30" workbookViewId="0">
      <selection activeCell="A3" sqref="A3:A24"/>
    </sheetView>
  </sheetViews>
  <sheetFormatPr defaultColWidth="28.42578125" defaultRowHeight="25.5" customHeight="1"/>
  <cols>
    <col min="1" max="1" width="35.1406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SUM('17th'!A2+1)</f>
        <v>45887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SUM(D23+'17th'!I30-'18th'!H25)</f>
        <v>567.88999999999976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118"/>
  <sheetViews>
    <sheetView topLeftCell="A2" zoomScale="51" zoomScaleNormal="30" workbookViewId="0">
      <selection activeCell="A3" sqref="A3:A24"/>
    </sheetView>
  </sheetViews>
  <sheetFormatPr defaultColWidth="28.42578125" defaultRowHeight="25.5" customHeight="1"/>
  <cols>
    <col min="1" max="1" width="35.285156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SUM('18th'!A2+1)</f>
        <v>45888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SUM(D23+'18th'!I30-'19th'!H25)</f>
        <v>567.88999999999976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I118"/>
  <sheetViews>
    <sheetView topLeftCell="A2" zoomScale="46" zoomScaleNormal="30" workbookViewId="0">
      <selection activeCell="A3" sqref="A3:A24"/>
    </sheetView>
  </sheetViews>
  <sheetFormatPr defaultColWidth="28.42578125" defaultRowHeight="25.5" customHeight="1"/>
  <cols>
    <col min="1" max="1" width="35.5703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  <c r="I1" s="527">
        <f>SUM(I30)</f>
        <v>1135.7799999999995</v>
      </c>
    </row>
    <row r="2" spans="1:9" ht="25.5" customHeight="1" thickBot="1">
      <c r="A2" s="298">
        <f>SUM('19th'!A2+1)</f>
        <v>45889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>-H25+'19th'!I30</f>
        <v>567.88999999999976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ref="H23" si="4">SUM(H3+H4+H5+H6+H7+H18+H19+H20+H21+H22)</f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SUM('19th'!I30+'20th'!D23-'20th'!H25)</f>
        <v>1135.7799999999995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I118"/>
  <sheetViews>
    <sheetView zoomScale="60" zoomScaleNormal="60" workbookViewId="0">
      <selection activeCell="C6" sqref="C6"/>
    </sheetView>
  </sheetViews>
  <sheetFormatPr defaultColWidth="28.42578125" defaultRowHeight="25.5" customHeight="1"/>
  <cols>
    <col min="1" max="1" width="36.1406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SUM('20th'!A2+1)</f>
        <v>45890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188</v>
      </c>
      <c r="B3" s="324"/>
      <c r="C3" s="269"/>
      <c r="D3" s="352"/>
      <c r="E3" s="423"/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189</v>
      </c>
      <c r="B4" s="325"/>
      <c r="C4" s="109"/>
      <c r="D4" s="353"/>
      <c r="E4" s="424"/>
      <c r="F4" s="397">
        <f t="shared" ref="F4:F19" si="0">D4-B4</f>
        <v>0</v>
      </c>
      <c r="G4" s="418">
        <f t="shared" ref="G4:G16" si="1">E4-C4</f>
        <v>0</v>
      </c>
      <c r="H4" s="388"/>
      <c r="I4" s="507"/>
    </row>
    <row r="5" spans="1:9" s="105" customFormat="1" ht="27" customHeight="1">
      <c r="A5" s="300" t="s">
        <v>190</v>
      </c>
      <c r="B5" s="325"/>
      <c r="C5" s="109"/>
      <c r="D5" s="353"/>
      <c r="E5" s="424"/>
      <c r="F5" s="397">
        <f t="shared" si="0"/>
        <v>0</v>
      </c>
      <c r="G5" s="418">
        <f t="shared" si="1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ref="E6:E17" si="2">SUM(E34+F34)</f>
        <v>0</v>
      </c>
      <c r="F6" s="397">
        <f t="shared" si="0"/>
        <v>0</v>
      </c>
      <c r="G6" s="418">
        <f t="shared" si="1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2"/>
        <v>0</v>
      </c>
      <c r="F7" s="400">
        <f t="shared" si="0"/>
        <v>0</v>
      </c>
      <c r="G7" s="419">
        <f t="shared" si="1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2"/>
        <v>0</v>
      </c>
      <c r="F8" s="396">
        <f t="shared" si="0"/>
        <v>0</v>
      </c>
      <c r="G8" s="417">
        <f t="shared" si="1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2"/>
        <v>0</v>
      </c>
      <c r="F9" s="397">
        <f>D9-B9+B40</f>
        <v>0</v>
      </c>
      <c r="G9" s="418">
        <f t="shared" si="1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2"/>
        <v>0</v>
      </c>
      <c r="F10" s="397">
        <f t="shared" si="0"/>
        <v>0</v>
      </c>
      <c r="G10" s="418">
        <f t="shared" si="1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2"/>
        <v>0</v>
      </c>
      <c r="F11" s="397">
        <f t="shared" si="0"/>
        <v>0</v>
      </c>
      <c r="G11" s="418">
        <f t="shared" si="1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2"/>
        <v>0</v>
      </c>
      <c r="F12" s="397">
        <f t="shared" si="0"/>
        <v>0</v>
      </c>
      <c r="G12" s="418">
        <f t="shared" si="1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2"/>
        <v>0</v>
      </c>
      <c r="F13" s="397">
        <f t="shared" si="0"/>
        <v>0</v>
      </c>
      <c r="G13" s="418">
        <f t="shared" si="1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2"/>
        <v>0</v>
      </c>
      <c r="F14" s="397">
        <f t="shared" si="0"/>
        <v>0</v>
      </c>
      <c r="G14" s="418">
        <f t="shared" si="1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2"/>
        <v>0</v>
      </c>
      <c r="F15" s="397">
        <f t="shared" si="0"/>
        <v>0</v>
      </c>
      <c r="G15" s="418">
        <f t="shared" si="1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2"/>
        <v>0</v>
      </c>
      <c r="F16" s="397">
        <f t="shared" si="0"/>
        <v>0</v>
      </c>
      <c r="G16" s="418">
        <f t="shared" si="1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2"/>
        <v>0</v>
      </c>
      <c r="F17" s="398">
        <f t="shared" si="0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0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SUM(D23+'20th'!I30-'21st'!H25)</f>
        <v>1135.7799999999995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I118"/>
  <sheetViews>
    <sheetView zoomScale="45" zoomScaleNormal="30" workbookViewId="0">
      <selection activeCell="A3" sqref="A3:A24"/>
    </sheetView>
  </sheetViews>
  <sheetFormatPr defaultColWidth="28.42578125" defaultRowHeight="25.5" customHeight="1"/>
  <cols>
    <col min="1" max="1" width="36.285156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SUM('21st'!A2+1)</f>
        <v>45891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SUM(D23+'21st'!I30-'22nd'!H25)</f>
        <v>1135.7799999999995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I118"/>
  <sheetViews>
    <sheetView topLeftCell="A3" zoomScale="60" zoomScaleNormal="30" workbookViewId="0">
      <selection activeCell="A3" sqref="A3:A24"/>
    </sheetView>
  </sheetViews>
  <sheetFormatPr defaultColWidth="28.42578125" defaultRowHeight="25.5" customHeight="1"/>
  <cols>
    <col min="1" max="1" width="35.1406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SUM('22nd'!A2+1)</f>
        <v>45892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06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60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SUM(D23+'22nd'!I30-'23rd'!H25)</f>
        <v>1135.7799999999995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I118"/>
  <sheetViews>
    <sheetView zoomScale="30" zoomScaleNormal="30" workbookViewId="0">
      <selection activeCell="A3" sqref="A3:A24"/>
    </sheetView>
  </sheetViews>
  <sheetFormatPr defaultColWidth="28.42578125" defaultRowHeight="25.5" customHeight="1"/>
  <cols>
    <col min="1" max="1" width="36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SUM('23rd'!A2+1)</f>
        <v>45893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SUM(D23+'23rd'!I30-'24th'!H25)</f>
        <v>1135.7799999999995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I118"/>
  <sheetViews>
    <sheetView topLeftCell="A2" zoomScale="37" zoomScaleNormal="30" workbookViewId="0">
      <selection activeCell="I31" sqref="I31"/>
    </sheetView>
  </sheetViews>
  <sheetFormatPr defaultColWidth="28.42578125" defaultRowHeight="25.5" customHeight="1"/>
  <cols>
    <col min="1" max="1" width="35.1406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SUM('24th'!A2+1)</f>
        <v>45894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SUM(D23+'24th'!I30-'25th'!H25)</f>
        <v>1135.7799999999995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I118"/>
  <sheetViews>
    <sheetView zoomScale="30" zoomScaleNormal="30" workbookViewId="0">
      <selection activeCell="A3" sqref="A3:A24"/>
    </sheetView>
  </sheetViews>
  <sheetFormatPr defaultColWidth="28.42578125" defaultRowHeight="25.5" customHeight="1"/>
  <cols>
    <col min="1" max="1" width="35.8554687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SUM('25th'!A2+1)</f>
        <v>45895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SUM(D23+'25th'!I30-'26th'!H25)</f>
        <v>1135.7799999999995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I118"/>
  <sheetViews>
    <sheetView zoomScale="30" zoomScaleNormal="30" workbookViewId="0">
      <selection activeCell="A3" sqref="A3:A24"/>
    </sheetView>
  </sheetViews>
  <sheetFormatPr defaultColWidth="28.42578125" defaultRowHeight="25.5" customHeight="1"/>
  <cols>
    <col min="1" max="1" width="35.8554687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SUM('26th'!A2+1)</f>
        <v>45896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SUM(D23+'26th'!I30-'27th'!H25)</f>
        <v>1135.7799999999995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I118"/>
  <sheetViews>
    <sheetView zoomScale="30" zoomScaleNormal="30" workbookViewId="0">
      <selection activeCell="A22" sqref="A22"/>
    </sheetView>
  </sheetViews>
  <sheetFormatPr defaultColWidth="28.42578125" defaultRowHeight="25.5" customHeight="1"/>
  <cols>
    <col min="1" max="1" width="36.5703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SUM('27th'!A2+1)</f>
        <v>45897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332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279" t="s">
        <v>178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/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SUM('27th'!I30+'28th'!D23-'28th'!H25)</f>
        <v>1135.7799999999995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I118"/>
  <sheetViews>
    <sheetView zoomScale="61" zoomScaleNormal="30" workbookViewId="0">
      <selection activeCell="A3" sqref="A3:A24"/>
    </sheetView>
  </sheetViews>
  <sheetFormatPr defaultColWidth="28.42578125" defaultRowHeight="25.5" customHeight="1"/>
  <cols>
    <col min="1" max="1" width="35.570312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SUM('28th'!A2+1)</f>
        <v>45898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>
      <c r="A4" s="300" t="s">
        <v>80</v>
      </c>
      <c r="B4" s="325"/>
      <c r="C4" s="109"/>
      <c r="D4" s="353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>
      <c r="A5" s="300" t="s">
        <v>81</v>
      </c>
      <c r="B5" s="325"/>
      <c r="C5" s="109"/>
      <c r="D5" s="353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>
      <c r="A6" s="300" t="s">
        <v>78</v>
      </c>
      <c r="B6" s="325"/>
      <c r="C6" s="109"/>
      <c r="D6" s="353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4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>
      <c r="A8" s="333" t="s">
        <v>82</v>
      </c>
      <c r="B8" s="327"/>
      <c r="C8" s="152"/>
      <c r="D8" s="355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>
      <c r="A9" s="300" t="s">
        <v>83</v>
      </c>
      <c r="B9" s="325"/>
      <c r="C9" s="109"/>
      <c r="D9" s="353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>
      <c r="A10" s="283" t="s">
        <v>84</v>
      </c>
      <c r="B10" s="325"/>
      <c r="C10" s="109"/>
      <c r="D10" s="353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>
      <c r="A11" s="283" t="s">
        <v>106</v>
      </c>
      <c r="B11" s="325"/>
      <c r="C11" s="109"/>
      <c r="D11" s="353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>
      <c r="A12" s="283" t="s">
        <v>85</v>
      </c>
      <c r="B12" s="325"/>
      <c r="C12" s="109"/>
      <c r="D12" s="353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>
      <c r="A13" s="283" t="s">
        <v>86</v>
      </c>
      <c r="B13" s="325"/>
      <c r="C13" s="109"/>
      <c r="D13" s="353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>
      <c r="A14" s="283" t="s">
        <v>87</v>
      </c>
      <c r="B14" s="325"/>
      <c r="C14" s="109"/>
      <c r="D14" s="353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>
      <c r="A15" s="283" t="s">
        <v>88</v>
      </c>
      <c r="B15" s="325"/>
      <c r="C15" s="109"/>
      <c r="D15" s="353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>
      <c r="A16" s="283" t="s">
        <v>107</v>
      </c>
      <c r="B16" s="325"/>
      <c r="C16" s="109"/>
      <c r="D16" s="353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6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SUM(I28+D23-H25+D90)</f>
        <v>0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  <c r="I31" s="527">
        <f>SUM(D23-H25+'28th'!I30)</f>
        <v>1135.7799999999995</v>
      </c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I118"/>
  <sheetViews>
    <sheetView zoomScale="50" zoomScaleNormal="50" workbookViewId="0">
      <selection activeCell="A3" sqref="A3:A24"/>
    </sheetView>
  </sheetViews>
  <sheetFormatPr defaultColWidth="28.42578125" defaultRowHeight="25.5" customHeight="1"/>
  <cols>
    <col min="1" max="1" width="3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SUM('29th'!A2+1)</f>
        <v>45899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 thickBo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 thickBot="1">
      <c r="A4" s="300" t="s">
        <v>80</v>
      </c>
      <c r="B4" s="325"/>
      <c r="C4" s="109"/>
      <c r="D4" s="352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8"/>
      <c r="I4" s="507"/>
    </row>
    <row r="5" spans="1:9" s="105" customFormat="1" ht="27" customHeight="1" thickBot="1">
      <c r="A5" s="300" t="s">
        <v>81</v>
      </c>
      <c r="B5" s="325"/>
      <c r="C5" s="109"/>
      <c r="D5" s="352"/>
      <c r="E5" s="424">
        <f t="shared" si="0"/>
        <v>0</v>
      </c>
      <c r="F5" s="397">
        <f t="shared" si="1"/>
        <v>0</v>
      </c>
      <c r="G5" s="418">
        <f t="shared" si="2"/>
        <v>0</v>
      </c>
      <c r="H5" s="388"/>
      <c r="I5" s="507"/>
    </row>
    <row r="6" spans="1:9" ht="25.5" customHeight="1" thickBot="1">
      <c r="A6" s="300" t="s">
        <v>78</v>
      </c>
      <c r="B6" s="325"/>
      <c r="C6" s="109"/>
      <c r="D6" s="352"/>
      <c r="E6" s="424">
        <f t="shared" si="0"/>
        <v>0</v>
      </c>
      <c r="F6" s="397">
        <f t="shared" si="1"/>
        <v>0</v>
      </c>
      <c r="G6" s="418">
        <f t="shared" si="2"/>
        <v>0</v>
      </c>
      <c r="H6" s="388"/>
      <c r="I6" s="508"/>
    </row>
    <row r="7" spans="1:9" ht="25.5" customHeight="1" thickBot="1">
      <c r="A7" s="741" t="s">
        <v>143</v>
      </c>
      <c r="B7" s="326"/>
      <c r="C7" s="270"/>
      <c r="D7" s="352"/>
      <c r="E7" s="425">
        <f t="shared" si="0"/>
        <v>0</v>
      </c>
      <c r="F7" s="400">
        <f t="shared" si="1"/>
        <v>0</v>
      </c>
      <c r="G7" s="419">
        <f t="shared" si="2"/>
        <v>0</v>
      </c>
      <c r="H7" s="389"/>
      <c r="I7" s="509"/>
    </row>
    <row r="8" spans="1:9" ht="25.5" customHeight="1" thickBot="1">
      <c r="A8" s="333" t="s">
        <v>82</v>
      </c>
      <c r="B8" s="327"/>
      <c r="C8" s="152"/>
      <c r="D8" s="352"/>
      <c r="E8" s="428">
        <f t="shared" si="0"/>
        <v>0</v>
      </c>
      <c r="F8" s="396">
        <f t="shared" si="1"/>
        <v>0</v>
      </c>
      <c r="G8" s="417">
        <f t="shared" si="2"/>
        <v>0</v>
      </c>
      <c r="H8" s="390"/>
      <c r="I8" s="510"/>
    </row>
    <row r="9" spans="1:9" ht="25.5" customHeight="1" thickBot="1">
      <c r="A9" s="300" t="s">
        <v>83</v>
      </c>
      <c r="B9" s="325"/>
      <c r="C9" s="109"/>
      <c r="D9" s="352"/>
      <c r="E9" s="424">
        <f t="shared" si="0"/>
        <v>0</v>
      </c>
      <c r="F9" s="397">
        <f>D9-B9+B40</f>
        <v>0</v>
      </c>
      <c r="G9" s="418">
        <f t="shared" si="2"/>
        <v>0</v>
      </c>
      <c r="H9" s="388"/>
      <c r="I9" s="508"/>
    </row>
    <row r="10" spans="1:9" ht="25.5" customHeight="1" thickBot="1">
      <c r="A10" s="283" t="s">
        <v>84</v>
      </c>
      <c r="B10" s="325"/>
      <c r="C10" s="109"/>
      <c r="D10" s="352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8"/>
      <c r="I10" s="508"/>
    </row>
    <row r="11" spans="1:9" ht="25.5" customHeight="1" thickBot="1">
      <c r="A11" s="283" t="s">
        <v>106</v>
      </c>
      <c r="B11" s="325"/>
      <c r="C11" s="109"/>
      <c r="D11" s="352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8"/>
      <c r="I11" s="508"/>
    </row>
    <row r="12" spans="1:9" ht="25.5" customHeight="1" thickBot="1">
      <c r="A12" s="283" t="s">
        <v>85</v>
      </c>
      <c r="B12" s="325"/>
      <c r="C12" s="109"/>
      <c r="D12" s="352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8"/>
      <c r="I12" s="508"/>
    </row>
    <row r="13" spans="1:9" ht="25.5" customHeight="1" thickBot="1">
      <c r="A13" s="283" t="s">
        <v>86</v>
      </c>
      <c r="B13" s="325"/>
      <c r="C13" s="109"/>
      <c r="D13" s="352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8"/>
      <c r="I13" s="508"/>
    </row>
    <row r="14" spans="1:9" ht="25.5" customHeight="1" thickBot="1">
      <c r="A14" s="283" t="s">
        <v>87</v>
      </c>
      <c r="B14" s="325"/>
      <c r="C14" s="109"/>
      <c r="D14" s="352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8"/>
      <c r="I14" s="508"/>
    </row>
    <row r="15" spans="1:9" ht="25.5" customHeight="1" thickBot="1">
      <c r="A15" s="283" t="s">
        <v>88</v>
      </c>
      <c r="B15" s="325"/>
      <c r="C15" s="109"/>
      <c r="D15" s="352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8"/>
      <c r="I15" s="508"/>
    </row>
    <row r="16" spans="1:9" ht="25.5" customHeight="1" thickBot="1">
      <c r="A16" s="283" t="s">
        <v>107</v>
      </c>
      <c r="B16" s="325"/>
      <c r="C16" s="109"/>
      <c r="D16" s="352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8"/>
      <c r="I16" s="508"/>
    </row>
    <row r="17" spans="1:9" ht="25.5" customHeight="1" thickBot="1">
      <c r="A17" s="406" t="s">
        <v>89</v>
      </c>
      <c r="B17" s="339"/>
      <c r="C17" s="340"/>
      <c r="D17" s="352"/>
      <c r="E17" s="429">
        <f t="shared" si="0"/>
        <v>0</v>
      </c>
      <c r="F17" s="398">
        <f t="shared" si="1"/>
        <v>0</v>
      </c>
      <c r="G17" s="419">
        <f>E17-C17</f>
        <v>0</v>
      </c>
      <c r="H17" s="407"/>
      <c r="I17" s="511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25.5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SUM(D23+'29th'!H25-'30th'!H25)</f>
        <v>0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I118"/>
  <sheetViews>
    <sheetView topLeftCell="A2" zoomScale="40" zoomScaleNormal="40" workbookViewId="0">
      <selection activeCell="A3" sqref="A3:A24"/>
    </sheetView>
  </sheetViews>
  <sheetFormatPr defaultColWidth="28.42578125" defaultRowHeight="25.5" customHeight="1"/>
  <cols>
    <col min="1" max="1" width="34.85546875" style="1" customWidth="1"/>
    <col min="2" max="3" width="28.42578125" style="1"/>
    <col min="4" max="4" width="48" style="1" customWidth="1"/>
    <col min="5" max="5" width="28.42578125" style="1"/>
    <col min="6" max="7" width="45.140625" style="1" customWidth="1"/>
    <col min="8" max="16384" width="28.42578125" style="1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 t="s">
        <v>160</v>
      </c>
    </row>
    <row r="2" spans="1:9" ht="25.5" customHeight="1" thickBot="1">
      <c r="A2" s="298">
        <f>SUM('30th'!A2+1)</f>
        <v>45900</v>
      </c>
      <c r="B2" s="318" t="s">
        <v>146</v>
      </c>
      <c r="C2" s="312" t="s">
        <v>154</v>
      </c>
      <c r="D2" s="351" t="s">
        <v>147</v>
      </c>
      <c r="E2" s="317" t="s">
        <v>148</v>
      </c>
      <c r="F2" s="288" t="s">
        <v>152</v>
      </c>
      <c r="G2" s="392" t="s">
        <v>159</v>
      </c>
      <c r="H2" s="362" t="s">
        <v>149</v>
      </c>
      <c r="I2" s="362" t="s">
        <v>150</v>
      </c>
    </row>
    <row r="3" spans="1:9" ht="25.5" customHeight="1" thickBot="1">
      <c r="A3" s="299" t="s">
        <v>79</v>
      </c>
      <c r="B3" s="324"/>
      <c r="C3" s="269"/>
      <c r="D3" s="352"/>
      <c r="E3" s="423">
        <f>SUM(E31+F31)</f>
        <v>0</v>
      </c>
      <c r="F3" s="396">
        <f>D3-B3</f>
        <v>0</v>
      </c>
      <c r="G3" s="417">
        <f>E3-C3</f>
        <v>0</v>
      </c>
      <c r="H3" s="387"/>
      <c r="I3" s="506"/>
    </row>
    <row r="4" spans="1:9" s="105" customFormat="1" ht="27" customHeight="1" thickBot="1">
      <c r="A4" s="300" t="s">
        <v>80</v>
      </c>
      <c r="B4" s="324"/>
      <c r="C4" s="269"/>
      <c r="D4" s="352"/>
      <c r="E4" s="424">
        <f t="shared" ref="E4:E17" si="0">SUM(E32+F32)</f>
        <v>0</v>
      </c>
      <c r="F4" s="397">
        <f t="shared" ref="F4:F19" si="1">D4-B4</f>
        <v>0</v>
      </c>
      <c r="G4" s="418">
        <f t="shared" ref="G4:G16" si="2">E4-C4</f>
        <v>0</v>
      </c>
      <c r="H4" s="387"/>
      <c r="I4" s="506"/>
    </row>
    <row r="5" spans="1:9" s="105" customFormat="1" ht="27" customHeight="1" thickBot="1">
      <c r="A5" s="300" t="s">
        <v>81</v>
      </c>
      <c r="B5" s="324"/>
      <c r="C5" s="269"/>
      <c r="D5" s="352"/>
      <c r="E5" s="424">
        <f t="shared" si="0"/>
        <v>0</v>
      </c>
      <c r="F5" s="397">
        <f t="shared" si="1"/>
        <v>0</v>
      </c>
      <c r="G5" s="418">
        <f t="shared" si="2"/>
        <v>0</v>
      </c>
      <c r="H5" s="387"/>
      <c r="I5" s="506"/>
    </row>
    <row r="6" spans="1:9" ht="25.5" customHeight="1" thickBot="1">
      <c r="A6" s="300" t="s">
        <v>78</v>
      </c>
      <c r="B6" s="324"/>
      <c r="C6" s="269"/>
      <c r="D6" s="352"/>
      <c r="E6" s="424">
        <f t="shared" si="0"/>
        <v>0</v>
      </c>
      <c r="F6" s="397">
        <f t="shared" si="1"/>
        <v>0</v>
      </c>
      <c r="G6" s="418">
        <f t="shared" si="2"/>
        <v>0</v>
      </c>
      <c r="H6" s="387"/>
      <c r="I6" s="506"/>
    </row>
    <row r="7" spans="1:9" ht="25.5" customHeight="1" thickBot="1">
      <c r="A7" s="741" t="s">
        <v>143</v>
      </c>
      <c r="B7" s="324"/>
      <c r="C7" s="269"/>
      <c r="D7" s="352"/>
      <c r="E7" s="425">
        <f t="shared" si="0"/>
        <v>0</v>
      </c>
      <c r="F7" s="400">
        <f t="shared" si="1"/>
        <v>0</v>
      </c>
      <c r="G7" s="419">
        <f t="shared" si="2"/>
        <v>0</v>
      </c>
      <c r="H7" s="387"/>
      <c r="I7" s="506"/>
    </row>
    <row r="8" spans="1:9" ht="25.5" customHeight="1" thickBot="1">
      <c r="A8" s="333" t="s">
        <v>82</v>
      </c>
      <c r="B8" s="324"/>
      <c r="C8" s="269"/>
      <c r="D8" s="352"/>
      <c r="E8" s="428">
        <f t="shared" si="0"/>
        <v>0</v>
      </c>
      <c r="F8" s="396">
        <f t="shared" si="1"/>
        <v>0</v>
      </c>
      <c r="G8" s="417">
        <f t="shared" si="2"/>
        <v>0</v>
      </c>
      <c r="H8" s="387"/>
      <c r="I8" s="506"/>
    </row>
    <row r="9" spans="1:9" ht="25.5" customHeight="1" thickBot="1">
      <c r="A9" s="300" t="s">
        <v>83</v>
      </c>
      <c r="B9" s="324"/>
      <c r="C9" s="269"/>
      <c r="D9" s="352"/>
      <c r="E9" s="424">
        <f t="shared" si="0"/>
        <v>0</v>
      </c>
      <c r="F9" s="397">
        <f>D9-B9+B40</f>
        <v>0</v>
      </c>
      <c r="G9" s="418">
        <f t="shared" si="2"/>
        <v>0</v>
      </c>
      <c r="H9" s="387"/>
      <c r="I9" s="506"/>
    </row>
    <row r="10" spans="1:9" ht="25.5" customHeight="1" thickBot="1">
      <c r="A10" s="283" t="s">
        <v>84</v>
      </c>
      <c r="B10" s="324"/>
      <c r="C10" s="269"/>
      <c r="D10" s="352"/>
      <c r="E10" s="424">
        <f t="shared" si="0"/>
        <v>0</v>
      </c>
      <c r="F10" s="397">
        <f t="shared" si="1"/>
        <v>0</v>
      </c>
      <c r="G10" s="418">
        <f t="shared" si="2"/>
        <v>0</v>
      </c>
      <c r="H10" s="387"/>
      <c r="I10" s="506"/>
    </row>
    <row r="11" spans="1:9" ht="25.5" customHeight="1" thickBot="1">
      <c r="A11" s="283" t="s">
        <v>106</v>
      </c>
      <c r="B11" s="324"/>
      <c r="C11" s="269"/>
      <c r="D11" s="352"/>
      <c r="E11" s="424">
        <f t="shared" si="0"/>
        <v>0</v>
      </c>
      <c r="F11" s="397">
        <f t="shared" si="1"/>
        <v>0</v>
      </c>
      <c r="G11" s="418">
        <f t="shared" si="2"/>
        <v>0</v>
      </c>
      <c r="H11" s="387"/>
      <c r="I11" s="506"/>
    </row>
    <row r="12" spans="1:9" ht="25.5" customHeight="1" thickBot="1">
      <c r="A12" s="283" t="s">
        <v>85</v>
      </c>
      <c r="B12" s="324"/>
      <c r="C12" s="269"/>
      <c r="D12" s="352"/>
      <c r="E12" s="424">
        <f t="shared" si="0"/>
        <v>0</v>
      </c>
      <c r="F12" s="397">
        <f t="shared" si="1"/>
        <v>0</v>
      </c>
      <c r="G12" s="418">
        <f t="shared" si="2"/>
        <v>0</v>
      </c>
      <c r="H12" s="387"/>
      <c r="I12" s="506"/>
    </row>
    <row r="13" spans="1:9" ht="25.5" customHeight="1" thickBot="1">
      <c r="A13" s="283" t="s">
        <v>86</v>
      </c>
      <c r="B13" s="324"/>
      <c r="C13" s="269"/>
      <c r="D13" s="352"/>
      <c r="E13" s="424">
        <f t="shared" si="0"/>
        <v>0</v>
      </c>
      <c r="F13" s="397">
        <f t="shared" si="1"/>
        <v>0</v>
      </c>
      <c r="G13" s="418">
        <f t="shared" si="2"/>
        <v>0</v>
      </c>
      <c r="H13" s="387"/>
      <c r="I13" s="506"/>
    </row>
    <row r="14" spans="1:9" ht="25.5" customHeight="1" thickBot="1">
      <c r="A14" s="283" t="s">
        <v>87</v>
      </c>
      <c r="B14" s="324"/>
      <c r="C14" s="269"/>
      <c r="D14" s="352"/>
      <c r="E14" s="424">
        <f t="shared" si="0"/>
        <v>0</v>
      </c>
      <c r="F14" s="397">
        <f t="shared" si="1"/>
        <v>0</v>
      </c>
      <c r="G14" s="418">
        <f t="shared" si="2"/>
        <v>0</v>
      </c>
      <c r="H14" s="387"/>
      <c r="I14" s="506"/>
    </row>
    <row r="15" spans="1:9" ht="25.5" customHeight="1" thickBot="1">
      <c r="A15" s="283" t="s">
        <v>88</v>
      </c>
      <c r="B15" s="324"/>
      <c r="C15" s="269"/>
      <c r="D15" s="352"/>
      <c r="E15" s="424">
        <f t="shared" si="0"/>
        <v>0</v>
      </c>
      <c r="F15" s="397">
        <f t="shared" si="1"/>
        <v>0</v>
      </c>
      <c r="G15" s="418">
        <f t="shared" si="2"/>
        <v>0</v>
      </c>
      <c r="H15" s="387"/>
      <c r="I15" s="506"/>
    </row>
    <row r="16" spans="1:9" ht="25.5" customHeight="1" thickBot="1">
      <c r="A16" s="283" t="s">
        <v>107</v>
      </c>
      <c r="B16" s="324"/>
      <c r="C16" s="269"/>
      <c r="D16" s="352"/>
      <c r="E16" s="424">
        <f t="shared" si="0"/>
        <v>0</v>
      </c>
      <c r="F16" s="397">
        <f t="shared" si="1"/>
        <v>0</v>
      </c>
      <c r="G16" s="418">
        <f t="shared" si="2"/>
        <v>0</v>
      </c>
      <c r="H16" s="387"/>
      <c r="I16" s="506"/>
    </row>
    <row r="17" spans="1:9" ht="25.5" customHeight="1" thickBot="1">
      <c r="A17" s="406" t="s">
        <v>89</v>
      </c>
      <c r="B17" s="324"/>
      <c r="C17" s="269"/>
      <c r="D17" s="352"/>
      <c r="E17" s="429">
        <f t="shared" si="0"/>
        <v>0</v>
      </c>
      <c r="F17" s="398">
        <f t="shared" si="1"/>
        <v>0</v>
      </c>
      <c r="G17" s="419">
        <f>E17-C17</f>
        <v>0</v>
      </c>
      <c r="H17" s="387"/>
      <c r="I17" s="506"/>
    </row>
    <row r="18" spans="1:9" ht="25.5" customHeight="1" thickBot="1">
      <c r="A18" s="284" t="s">
        <v>151</v>
      </c>
      <c r="B18" s="359">
        <f>SUM(B8:B17)</f>
        <v>0</v>
      </c>
      <c r="C18" s="359">
        <f t="shared" ref="C18:H18" si="3">SUM(C8:C17)</f>
        <v>0</v>
      </c>
      <c r="D18" s="359">
        <f t="shared" si="3"/>
        <v>0</v>
      </c>
      <c r="E18" s="359">
        <f t="shared" si="3"/>
        <v>0</v>
      </c>
      <c r="F18" s="359">
        <f t="shared" si="3"/>
        <v>0</v>
      </c>
      <c r="G18" s="359">
        <f t="shared" si="3"/>
        <v>0</v>
      </c>
      <c r="H18" s="359">
        <f t="shared" si="3"/>
        <v>0</v>
      </c>
      <c r="I18" s="359">
        <f>SUM(I8:I17)</f>
        <v>0</v>
      </c>
    </row>
    <row r="19" spans="1:9" ht="25.5" customHeight="1" thickBot="1">
      <c r="A19" s="410" t="s">
        <v>155</v>
      </c>
      <c r="B19" s="724">
        <f>SUM(D104)</f>
        <v>0</v>
      </c>
      <c r="C19" s="725">
        <f>F104+E104</f>
        <v>0</v>
      </c>
      <c r="D19" s="411"/>
      <c r="E19" s="719">
        <f>SUM(E46+F46-E47-F47)</f>
        <v>0</v>
      </c>
      <c r="F19" s="720">
        <f t="shared" si="1"/>
        <v>0</v>
      </c>
      <c r="G19" s="697">
        <f>E19-C19</f>
        <v>0</v>
      </c>
      <c r="H19" s="721">
        <f>SUM(C118)</f>
        <v>0</v>
      </c>
      <c r="I19" s="727">
        <f>(D19+E19+H19)*0.95/11</f>
        <v>0</v>
      </c>
    </row>
    <row r="20" spans="1:9" ht="25.5" customHeight="1">
      <c r="A20" s="285" t="s">
        <v>134</v>
      </c>
      <c r="B20" s="342"/>
      <c r="C20" s="269"/>
      <c r="D20" s="357"/>
      <c r="E20" s="375"/>
      <c r="F20" s="371"/>
      <c r="G20" s="381"/>
      <c r="H20" s="512"/>
      <c r="I20" s="506"/>
    </row>
    <row r="21" spans="1:9" ht="25.5" customHeight="1">
      <c r="A21" s="334" t="s">
        <v>135</v>
      </c>
      <c r="B21" s="328"/>
      <c r="C21" s="109"/>
      <c r="D21" s="358"/>
      <c r="E21" s="376"/>
      <c r="F21" s="372"/>
      <c r="G21" s="382"/>
      <c r="H21" s="507"/>
      <c r="I21" s="508"/>
    </row>
    <row r="22" spans="1:9" ht="25.5" customHeight="1" thickBot="1">
      <c r="A22" s="300" t="s">
        <v>187</v>
      </c>
      <c r="B22" s="326"/>
      <c r="C22" s="270"/>
      <c r="D22" s="354"/>
      <c r="E22" s="361"/>
      <c r="F22" s="294"/>
      <c r="G22" s="380"/>
      <c r="H22" s="513"/>
      <c r="I22" s="509"/>
    </row>
    <row r="23" spans="1:9" ht="25.5" customHeight="1" thickBot="1">
      <c r="A23" s="336" t="s">
        <v>0</v>
      </c>
      <c r="B23" s="291">
        <f>SUM(B3+B4+B5+B6+B7+B18+B19+B22)</f>
        <v>0</v>
      </c>
      <c r="C23" s="290">
        <f>SUM(C3+C4+C5+C6+C7+C18+C19+C20+C21+C22)</f>
        <v>0</v>
      </c>
      <c r="D23" s="290">
        <f t="shared" ref="D23:H23" si="4">SUM(D3+D4+D5+D6+D7+D18+D19+D20+D21+D22)</f>
        <v>0</v>
      </c>
      <c r="E23" s="290">
        <f>SUM(E3+E4+E5+E6+E7+E18+E19+E20+E21+E22)</f>
        <v>0</v>
      </c>
      <c r="F23" s="290">
        <f>SUM(F3+F4+F5+F6+F7+F18+F19+F20+F21+F22)</f>
        <v>0</v>
      </c>
      <c r="G23" s="290">
        <f>SUM(G3+G4+G5+G6+G7+G18+G19+G20+G21+G22)</f>
        <v>0</v>
      </c>
      <c r="H23" s="290">
        <f t="shared" si="4"/>
        <v>0</v>
      </c>
      <c r="I23" s="290">
        <f>SUM(I3+I4+I5+I6+I7+I18+I19+I20+I21+I22)</f>
        <v>0</v>
      </c>
    </row>
    <row r="24" spans="1:9" ht="25.5" customHeight="1" thickBot="1">
      <c r="A24" s="105" t="s">
        <v>180</v>
      </c>
      <c r="B24" s="107"/>
      <c r="E24" s="295"/>
      <c r="F24" s="105"/>
      <c r="G24" s="105"/>
    </row>
    <row r="25" spans="1:9" ht="25.5" customHeight="1" thickBot="1">
      <c r="A25" s="476" t="s">
        <v>171</v>
      </c>
      <c r="B25" s="478" t="s">
        <v>153</v>
      </c>
      <c r="C25" s="734" t="s">
        <v>185</v>
      </c>
      <c r="E25" s="105" t="s">
        <v>165</v>
      </c>
      <c r="F25" s="105"/>
      <c r="G25" s="453" t="s">
        <v>167</v>
      </c>
      <c r="H25" s="517"/>
    </row>
    <row r="26" spans="1:9" ht="25.5" customHeight="1" thickBot="1">
      <c r="A26" s="467" t="s">
        <v>91</v>
      </c>
      <c r="B26" s="464"/>
      <c r="E26" s="437" t="s">
        <v>166</v>
      </c>
      <c r="F26" s="444"/>
      <c r="G26" s="450" t="s">
        <v>161</v>
      </c>
      <c r="H26" s="447"/>
    </row>
    <row r="27" spans="1:9" ht="30" customHeight="1" thickBot="1">
      <c r="A27" s="468" t="s">
        <v>92</v>
      </c>
      <c r="B27" s="465"/>
      <c r="E27" s="438" t="s">
        <v>164</v>
      </c>
      <c r="F27" s="402"/>
      <c r="G27" s="439" t="s">
        <v>162</v>
      </c>
      <c r="H27" s="432" t="s">
        <v>163</v>
      </c>
    </row>
    <row r="28" spans="1:9" ht="25.5" customHeight="1" thickBot="1">
      <c r="A28" s="468" t="s">
        <v>93</v>
      </c>
      <c r="B28" s="465"/>
      <c r="C28" s="106"/>
    </row>
    <row r="29" spans="1:9" ht="25.5" customHeight="1" thickBot="1">
      <c r="A29" s="468" t="s">
        <v>94</v>
      </c>
      <c r="B29" s="465"/>
      <c r="C29" s="160"/>
      <c r="D29" s="108"/>
      <c r="E29" s="105"/>
      <c r="F29" s="105"/>
      <c r="H29" s="460" t="s">
        <v>168</v>
      </c>
      <c r="I29" s="461">
        <f>SUM(B23+C23+G23+F23+H23-I23)</f>
        <v>0</v>
      </c>
    </row>
    <row r="30" spans="1:9" ht="25.5" customHeight="1" thickBot="1">
      <c r="A30" s="468" t="s">
        <v>95</v>
      </c>
      <c r="B30" s="465"/>
      <c r="C30" s="157"/>
      <c r="D30" s="665" t="s">
        <v>170</v>
      </c>
      <c r="E30" s="303" t="s">
        <v>141</v>
      </c>
      <c r="F30" s="304" t="s">
        <v>142</v>
      </c>
      <c r="H30" s="456" t="s">
        <v>169</v>
      </c>
      <c r="I30" s="457">
        <f>SUM(D23-H25+'30th'!I30)</f>
        <v>0</v>
      </c>
    </row>
    <row r="31" spans="1:9" ht="25.5" customHeight="1">
      <c r="A31" s="468" t="s">
        <v>96</v>
      </c>
      <c r="B31" s="465"/>
      <c r="C31" s="157"/>
      <c r="D31" s="308" t="s">
        <v>79</v>
      </c>
      <c r="E31" s="524"/>
      <c r="F31" s="276"/>
      <c r="G31" s="106"/>
    </row>
    <row r="32" spans="1:9" ht="25.5" customHeight="1">
      <c r="A32" s="468" t="s">
        <v>97</v>
      </c>
      <c r="B32" s="465"/>
      <c r="C32" s="157"/>
      <c r="D32" s="309" t="s">
        <v>80</v>
      </c>
      <c r="E32" s="525"/>
      <c r="F32" s="277"/>
      <c r="G32" s="106"/>
    </row>
    <row r="33" spans="1:7" ht="25.5" customHeight="1">
      <c r="A33" s="468" t="s">
        <v>98</v>
      </c>
      <c r="B33" s="465"/>
      <c r="C33" s="157"/>
      <c r="D33" s="309" t="s">
        <v>81</v>
      </c>
      <c r="E33" s="525"/>
      <c r="F33" s="277"/>
      <c r="G33" s="106"/>
    </row>
    <row r="34" spans="1:7" ht="25.5" customHeight="1">
      <c r="A34" s="468" t="s">
        <v>99</v>
      </c>
      <c r="B34" s="465"/>
      <c r="C34" s="157"/>
      <c r="D34" s="309" t="s">
        <v>78</v>
      </c>
      <c r="E34" s="525"/>
      <c r="F34" s="277"/>
      <c r="G34" s="106"/>
    </row>
    <row r="35" spans="1:7" ht="25.5" customHeight="1" thickBot="1">
      <c r="A35" s="468" t="s">
        <v>100</v>
      </c>
      <c r="B35" s="465"/>
      <c r="C35" s="157"/>
      <c r="D35" s="413" t="s">
        <v>143</v>
      </c>
      <c r="E35" s="526"/>
      <c r="F35" s="278"/>
      <c r="G35" s="106"/>
    </row>
    <row r="36" spans="1:7" ht="25.5" customHeight="1">
      <c r="A36" s="468" t="s">
        <v>101</v>
      </c>
      <c r="B36" s="465"/>
      <c r="C36" s="157"/>
      <c r="D36" s="308" t="s">
        <v>82</v>
      </c>
      <c r="E36" s="524"/>
      <c r="F36" s="276"/>
      <c r="G36" s="106"/>
    </row>
    <row r="37" spans="1:7" ht="25.5" customHeight="1">
      <c r="A37" s="468" t="s">
        <v>102</v>
      </c>
      <c r="B37" s="465"/>
      <c r="C37" s="157"/>
      <c r="D37" s="309" t="s">
        <v>83</v>
      </c>
      <c r="E37" s="525"/>
      <c r="F37" s="277"/>
      <c r="G37" s="106"/>
    </row>
    <row r="38" spans="1:7" ht="25.5" customHeight="1">
      <c r="A38" s="468" t="s">
        <v>103</v>
      </c>
      <c r="B38" s="465"/>
      <c r="C38" s="157"/>
      <c r="D38" s="309" t="s">
        <v>84</v>
      </c>
      <c r="E38" s="525"/>
      <c r="F38" s="277"/>
      <c r="G38" s="106"/>
    </row>
    <row r="39" spans="1:7" ht="25.5" customHeight="1" thickBot="1">
      <c r="A39" s="471" t="s">
        <v>104</v>
      </c>
      <c r="B39" s="472"/>
      <c r="C39" s="157"/>
      <c r="D39" s="309" t="s">
        <v>106</v>
      </c>
      <c r="E39" s="525"/>
      <c r="F39" s="277"/>
      <c r="G39" s="106"/>
    </row>
    <row r="40" spans="1:7" ht="25.5" customHeight="1" thickBot="1">
      <c r="A40" s="474" t="s">
        <v>144</v>
      </c>
      <c r="B40" s="520">
        <f>SUM(B26:B39)</f>
        <v>0</v>
      </c>
      <c r="C40" s="157"/>
      <c r="D40" s="309" t="s">
        <v>85</v>
      </c>
      <c r="E40" s="525"/>
      <c r="F40" s="277"/>
      <c r="G40" s="106"/>
    </row>
    <row r="41" spans="1:7" ht="25.5" customHeight="1">
      <c r="A41" s="157"/>
      <c r="B41" s="157"/>
      <c r="C41" s="157"/>
      <c r="D41" s="309" t="s">
        <v>86</v>
      </c>
      <c r="E41" s="525"/>
      <c r="F41" s="277"/>
      <c r="G41" s="106"/>
    </row>
    <row r="42" spans="1:7" ht="25.5" customHeight="1">
      <c r="C42" s="157"/>
      <c r="D42" s="309" t="s">
        <v>87</v>
      </c>
      <c r="E42" s="525"/>
      <c r="F42" s="277"/>
      <c r="G42" s="106"/>
    </row>
    <row r="43" spans="1:7" ht="25.5" customHeight="1">
      <c r="C43" s="157"/>
      <c r="D43" s="309" t="s">
        <v>88</v>
      </c>
      <c r="E43" s="525"/>
      <c r="F43" s="277"/>
      <c r="G43" s="106"/>
    </row>
    <row r="44" spans="1:7" ht="25.5" customHeight="1">
      <c r="C44" s="157"/>
      <c r="D44" s="309" t="s">
        <v>107</v>
      </c>
      <c r="E44" s="525"/>
      <c r="F44" s="277"/>
      <c r="G44" s="106"/>
    </row>
    <row r="45" spans="1:7" ht="25.5" customHeight="1" thickBot="1">
      <c r="A45" s="157"/>
      <c r="B45" s="157"/>
      <c r="C45" s="157"/>
      <c r="D45" s="310" t="s">
        <v>89</v>
      </c>
      <c r="E45" s="526"/>
      <c r="F45" s="278"/>
      <c r="G45" s="106"/>
    </row>
    <row r="46" spans="1:7" ht="25.5" customHeight="1" thickBot="1">
      <c r="A46" s="157"/>
      <c r="B46" s="157"/>
      <c r="C46" s="664"/>
      <c r="D46" s="657" t="s">
        <v>184</v>
      </c>
      <c r="E46" s="662"/>
      <c r="F46" s="656"/>
      <c r="G46" s="106"/>
    </row>
    <row r="47" spans="1:7" ht="39.75" customHeight="1" thickBot="1">
      <c r="A47" s="157"/>
      <c r="B47" s="157"/>
      <c r="C47" s="664"/>
      <c r="D47" s="733" t="s">
        <v>183</v>
      </c>
      <c r="E47" s="731">
        <f>SUM(E90)</f>
        <v>0</v>
      </c>
      <c r="F47" s="732">
        <f>F90</f>
        <v>0</v>
      </c>
      <c r="G47" s="106"/>
    </row>
    <row r="48" spans="1:7" ht="25.5" customHeight="1" thickBot="1">
      <c r="A48" s="482" t="s">
        <v>145</v>
      </c>
      <c r="B48" s="483" t="s">
        <v>126</v>
      </c>
      <c r="C48" s="483" t="s">
        <v>127</v>
      </c>
      <c r="D48" s="483" t="s">
        <v>128</v>
      </c>
      <c r="E48" s="483" t="s">
        <v>129</v>
      </c>
      <c r="F48" s="484" t="s">
        <v>105</v>
      </c>
      <c r="G48" s="105"/>
    </row>
    <row r="49" spans="1:7" ht="25.5" customHeight="1">
      <c r="A49" s="487" t="s">
        <v>2</v>
      </c>
      <c r="B49" s="164"/>
      <c r="C49" s="163"/>
      <c r="D49" s="163"/>
      <c r="E49" s="163"/>
      <c r="F49" s="174">
        <f>SUM(B49:E49)</f>
        <v>0</v>
      </c>
      <c r="G49" s="156"/>
    </row>
    <row r="50" spans="1:7" ht="25.5" customHeight="1">
      <c r="A50" s="488" t="s">
        <v>3</v>
      </c>
      <c r="B50" s="117"/>
      <c r="C50" s="158"/>
      <c r="D50" s="158"/>
      <c r="E50" s="158"/>
      <c r="F50" s="159">
        <f t="shared" ref="F50:F60" si="5">SUM(B50:E50)</f>
        <v>0</v>
      </c>
      <c r="G50" s="156"/>
    </row>
    <row r="51" spans="1:7" ht="25.5" customHeight="1">
      <c r="A51" s="488" t="s">
        <v>4</v>
      </c>
      <c r="B51" s="117"/>
      <c r="C51" s="158"/>
      <c r="D51" s="158"/>
      <c r="E51" s="158"/>
      <c r="F51" s="159">
        <f t="shared" si="5"/>
        <v>0</v>
      </c>
      <c r="G51" s="156"/>
    </row>
    <row r="52" spans="1:7" ht="25.5" customHeight="1">
      <c r="A52" s="488" t="s">
        <v>5</v>
      </c>
      <c r="B52" s="117"/>
      <c r="C52" s="158"/>
      <c r="D52" s="158"/>
      <c r="E52" s="158"/>
      <c r="F52" s="159">
        <f t="shared" si="5"/>
        <v>0</v>
      </c>
      <c r="G52" s="156"/>
    </row>
    <row r="53" spans="1:7" ht="25.5" customHeight="1">
      <c r="A53" s="488" t="s">
        <v>115</v>
      </c>
      <c r="B53" s="117"/>
      <c r="C53" s="158"/>
      <c r="D53" s="158"/>
      <c r="E53" s="158"/>
      <c r="F53" s="159">
        <f t="shared" si="5"/>
        <v>0</v>
      </c>
      <c r="G53" s="156"/>
    </row>
    <row r="54" spans="1:7" ht="25.5" customHeight="1">
      <c r="A54" s="488" t="s">
        <v>6</v>
      </c>
      <c r="B54" s="117"/>
      <c r="C54" s="158"/>
      <c r="D54" s="158"/>
      <c r="E54" s="158"/>
      <c r="F54" s="159">
        <f t="shared" si="5"/>
        <v>0</v>
      </c>
      <c r="G54" s="156"/>
    </row>
    <row r="55" spans="1:7" ht="25.5" customHeight="1" thickBot="1">
      <c r="A55" s="10" t="s">
        <v>16</v>
      </c>
      <c r="B55" s="162">
        <f>SUM(B49:B54)</f>
        <v>0</v>
      </c>
      <c r="C55" s="162">
        <f>SUM(C49:C54)</f>
        <v>0</v>
      </c>
      <c r="D55" s="162">
        <f>SUM(D49:D54)</f>
        <v>0</v>
      </c>
      <c r="E55" s="162">
        <f>SUM(E49:E54)</f>
        <v>0</v>
      </c>
      <c r="F55" s="177">
        <f t="shared" si="5"/>
        <v>0</v>
      </c>
      <c r="G55" s="156"/>
    </row>
    <row r="56" spans="1:7" ht="25.5" customHeight="1" thickBot="1">
      <c r="A56" s="176" t="s">
        <v>29</v>
      </c>
      <c r="B56" s="166"/>
      <c r="C56" s="167"/>
      <c r="D56" s="167"/>
      <c r="E56" s="167"/>
      <c r="F56" s="168"/>
      <c r="G56" s="156"/>
    </row>
    <row r="57" spans="1:7" ht="25.5" customHeight="1">
      <c r="A57" s="487" t="s">
        <v>7</v>
      </c>
      <c r="B57" s="164"/>
      <c r="C57" s="163"/>
      <c r="D57" s="163"/>
      <c r="E57" s="163"/>
      <c r="F57" s="174">
        <f t="shared" si="5"/>
        <v>0</v>
      </c>
      <c r="G57" s="156"/>
    </row>
    <row r="58" spans="1:7" ht="25.5" customHeight="1">
      <c r="A58" s="488" t="s">
        <v>8</v>
      </c>
      <c r="B58" s="117"/>
      <c r="C58" s="158"/>
      <c r="D58" s="158"/>
      <c r="E58" s="158"/>
      <c r="F58" s="159">
        <f t="shared" si="5"/>
        <v>0</v>
      </c>
      <c r="G58" s="156"/>
    </row>
    <row r="59" spans="1:7" ht="25.5" customHeight="1">
      <c r="A59" s="488" t="s">
        <v>9</v>
      </c>
      <c r="B59" s="117"/>
      <c r="C59" s="158"/>
      <c r="D59" s="158"/>
      <c r="E59" s="158"/>
      <c r="F59" s="159">
        <f t="shared" si="5"/>
        <v>0</v>
      </c>
      <c r="G59" s="156"/>
    </row>
    <row r="60" spans="1:7" ht="25.5" customHeight="1">
      <c r="A60" s="488" t="s">
        <v>10</v>
      </c>
      <c r="B60" s="117"/>
      <c r="C60" s="158"/>
      <c r="D60" s="158"/>
      <c r="E60" s="158"/>
      <c r="F60" s="159">
        <f t="shared" si="5"/>
        <v>0</v>
      </c>
      <c r="G60" s="156"/>
    </row>
    <row r="61" spans="1:7" ht="25.5" customHeight="1" thickBot="1">
      <c r="A61" s="14" t="s">
        <v>17</v>
      </c>
      <c r="B61" s="162">
        <f>SUM(B57:B60)</f>
        <v>0</v>
      </c>
      <c r="C61" s="162">
        <f>SUM(C57:C60)</f>
        <v>0</v>
      </c>
      <c r="D61" s="162">
        <f>SUM(D57:D60)</f>
        <v>0</v>
      </c>
      <c r="E61" s="162">
        <f>SUM(E57:E60)</f>
        <v>0</v>
      </c>
      <c r="F61" s="162">
        <f>SUM(F57:F60)</f>
        <v>0</v>
      </c>
      <c r="G61" s="490"/>
    </row>
    <row r="62" spans="1:7" ht="25.5" customHeight="1" thickBot="1">
      <c r="A62" s="175" t="s">
        <v>30</v>
      </c>
      <c r="B62" s="166"/>
      <c r="C62" s="167"/>
      <c r="D62" s="167"/>
      <c r="E62" s="167"/>
      <c r="F62" s="168"/>
      <c r="G62" s="156"/>
    </row>
    <row r="63" spans="1:7" ht="25.5" customHeight="1">
      <c r="A63" s="493" t="s">
        <v>74</v>
      </c>
      <c r="B63" s="164"/>
      <c r="C63" s="163"/>
      <c r="D63" s="163"/>
      <c r="E63" s="163"/>
      <c r="F63" s="174">
        <f t="shared" ref="F63:F76" si="6">SUM(B63:E63)</f>
        <v>0</v>
      </c>
      <c r="G63" s="156"/>
    </row>
    <row r="64" spans="1:7" ht="25.5" customHeight="1">
      <c r="A64" s="487" t="s">
        <v>11</v>
      </c>
      <c r="B64" s="117"/>
      <c r="C64" s="158"/>
      <c r="D64" s="158"/>
      <c r="E64" s="158"/>
      <c r="F64" s="159">
        <f t="shared" si="6"/>
        <v>0</v>
      </c>
      <c r="G64" s="156"/>
    </row>
    <row r="65" spans="1:7" ht="25.5" customHeight="1">
      <c r="A65" s="494" t="s">
        <v>12</v>
      </c>
      <c r="B65" s="169"/>
      <c r="C65" s="170"/>
      <c r="D65" s="170"/>
      <c r="E65" s="170"/>
      <c r="F65" s="173">
        <f t="shared" si="6"/>
        <v>0</v>
      </c>
      <c r="G65" s="156"/>
    </row>
    <row r="66" spans="1:7" ht="25.5" customHeight="1">
      <c r="A66" s="178" t="s">
        <v>18</v>
      </c>
      <c r="B66" s="161"/>
      <c r="C66" s="155"/>
      <c r="D66" s="155"/>
      <c r="E66" s="155"/>
      <c r="F66" s="155">
        <f t="shared" si="6"/>
        <v>0</v>
      </c>
      <c r="G66" s="156"/>
    </row>
    <row r="67" spans="1:7" ht="25.5" customHeight="1">
      <c r="A67" s="487" t="s">
        <v>13</v>
      </c>
      <c r="B67" s="164"/>
      <c r="C67" s="163"/>
      <c r="D67" s="163"/>
      <c r="E67" s="163"/>
      <c r="F67" s="174">
        <f>SUM(B67:E67)</f>
        <v>0</v>
      </c>
      <c r="G67" s="156"/>
    </row>
    <row r="68" spans="1:7" ht="25.5" customHeight="1" thickBot="1">
      <c r="A68" s="10"/>
      <c r="B68" s="169"/>
      <c r="C68" s="170"/>
      <c r="D68" s="170"/>
      <c r="E68" s="170"/>
      <c r="F68" s="173">
        <f t="shared" si="6"/>
        <v>0</v>
      </c>
      <c r="G68" s="156"/>
    </row>
    <row r="69" spans="1:7" ht="25.5" customHeight="1" thickBot="1">
      <c r="A69" s="175" t="s">
        <v>32</v>
      </c>
      <c r="B69" s="166"/>
      <c r="C69" s="167"/>
      <c r="D69" s="167"/>
      <c r="E69" s="167"/>
      <c r="F69" s="168"/>
      <c r="G69" s="156"/>
    </row>
    <row r="70" spans="1:7" ht="25.5" customHeight="1">
      <c r="A70" s="487" t="s">
        <v>14</v>
      </c>
      <c r="B70" s="164"/>
      <c r="C70" s="163"/>
      <c r="D70" s="163"/>
      <c r="E70" s="163"/>
      <c r="F70" s="174">
        <f t="shared" si="6"/>
        <v>0</v>
      </c>
      <c r="G70" s="156"/>
    </row>
    <row r="71" spans="1:7" ht="25.5" customHeight="1">
      <c r="A71" s="497" t="s">
        <v>120</v>
      </c>
      <c r="B71" s="117"/>
      <c r="C71" s="158"/>
      <c r="D71" s="158"/>
      <c r="E71" s="158"/>
      <c r="F71" s="159">
        <f t="shared" si="6"/>
        <v>0</v>
      </c>
      <c r="G71" s="156"/>
    </row>
    <row r="72" spans="1:7" ht="25.5" customHeight="1">
      <c r="A72" s="497" t="s">
        <v>121</v>
      </c>
      <c r="B72" s="117"/>
      <c r="C72" s="158"/>
      <c r="D72" s="158"/>
      <c r="E72" s="158"/>
      <c r="F72" s="159">
        <f t="shared" si="6"/>
        <v>0</v>
      </c>
      <c r="G72" s="156"/>
    </row>
    <row r="73" spans="1:7" ht="25.5" customHeight="1">
      <c r="A73" s="497" t="s">
        <v>119</v>
      </c>
      <c r="B73" s="117"/>
      <c r="C73" s="158"/>
      <c r="D73" s="158"/>
      <c r="E73" s="158"/>
      <c r="F73" s="159">
        <f t="shared" si="6"/>
        <v>0</v>
      </c>
      <c r="G73" s="156"/>
    </row>
    <row r="74" spans="1:7" ht="25.5" customHeight="1">
      <c r="A74" s="497" t="s">
        <v>118</v>
      </c>
      <c r="B74" s="117"/>
      <c r="C74" s="158"/>
      <c r="D74" s="158"/>
      <c r="E74" s="158"/>
      <c r="F74" s="159">
        <f t="shared" si="6"/>
        <v>0</v>
      </c>
      <c r="G74" s="156"/>
    </row>
    <row r="75" spans="1:7" ht="25.5" customHeight="1">
      <c r="A75" s="497" t="s">
        <v>59</v>
      </c>
      <c r="B75" s="117"/>
      <c r="C75" s="158"/>
      <c r="D75" s="158"/>
      <c r="E75" s="158"/>
      <c r="F75" s="159">
        <f t="shared" si="6"/>
        <v>0</v>
      </c>
      <c r="G75" s="156"/>
    </row>
    <row r="76" spans="1:7" ht="25.5" customHeight="1">
      <c r="A76" s="497" t="s">
        <v>116</v>
      </c>
      <c r="B76" s="117"/>
      <c r="C76" s="158"/>
      <c r="D76" s="158"/>
      <c r="E76" s="158"/>
      <c r="F76" s="159">
        <f t="shared" si="6"/>
        <v>0</v>
      </c>
      <c r="G76" s="156"/>
    </row>
    <row r="78" spans="1:7" ht="25.5" customHeight="1" thickBot="1"/>
    <row r="79" spans="1:7" ht="25.5" customHeight="1" thickBot="1">
      <c r="A79" s="659" t="s">
        <v>179</v>
      </c>
      <c r="B79" s="757" t="s">
        <v>172</v>
      </c>
      <c r="C79" s="758"/>
      <c r="D79" s="758"/>
      <c r="E79" s="758"/>
      <c r="F79" s="759"/>
    </row>
    <row r="80" spans="1:7" ht="25.5" customHeight="1" thickBot="1">
      <c r="A80" s="499" t="s">
        <v>158</v>
      </c>
      <c r="B80" s="686" t="s">
        <v>157</v>
      </c>
      <c r="C80" s="686" t="s">
        <v>156</v>
      </c>
      <c r="D80" s="687" t="s">
        <v>180</v>
      </c>
      <c r="E80" s="684" t="s">
        <v>141</v>
      </c>
      <c r="F80" s="685" t="s">
        <v>181</v>
      </c>
    </row>
    <row r="81" spans="1:6" ht="25.5" customHeight="1">
      <c r="A81" s="365"/>
      <c r="B81" s="365"/>
      <c r="C81" s="506"/>
      <c r="D81" s="672"/>
      <c r="E81" s="678"/>
      <c r="F81" s="704"/>
    </row>
    <row r="82" spans="1:6" ht="25.5" customHeight="1">
      <c r="A82" s="367"/>
      <c r="B82" s="367"/>
      <c r="C82" s="508"/>
      <c r="D82" s="673"/>
      <c r="E82" s="653"/>
      <c r="F82" s="705"/>
    </row>
    <row r="83" spans="1:6" ht="25.5" customHeight="1">
      <c r="A83" s="367"/>
      <c r="B83" s="367"/>
      <c r="C83" s="508"/>
      <c r="D83" s="673"/>
      <c r="E83" s="653"/>
      <c r="F83" s="705"/>
    </row>
    <row r="84" spans="1:6" ht="25.5" customHeight="1">
      <c r="A84" s="367"/>
      <c r="B84" s="367"/>
      <c r="C84" s="508"/>
      <c r="D84" s="673"/>
      <c r="E84" s="653"/>
      <c r="F84" s="705"/>
    </row>
    <row r="85" spans="1:6" ht="25.5" customHeight="1">
      <c r="A85" s="367"/>
      <c r="B85" s="367"/>
      <c r="C85" s="508"/>
      <c r="D85" s="673"/>
      <c r="E85" s="653"/>
      <c r="F85" s="705"/>
    </row>
    <row r="86" spans="1:6" ht="25.5" customHeight="1">
      <c r="A86" s="367"/>
      <c r="B86" s="367"/>
      <c r="C86" s="508"/>
      <c r="D86" s="673"/>
      <c r="E86" s="653"/>
      <c r="F86" s="705"/>
    </row>
    <row r="87" spans="1:6" ht="25.5" customHeight="1">
      <c r="A87" s="367"/>
      <c r="B87" s="367"/>
      <c r="C87" s="508"/>
      <c r="D87" s="673"/>
      <c r="E87" s="653"/>
      <c r="F87" s="705"/>
    </row>
    <row r="88" spans="1:6" ht="25.5" customHeight="1">
      <c r="A88" s="367"/>
      <c r="B88" s="367"/>
      <c r="C88" s="508"/>
      <c r="D88" s="673"/>
      <c r="E88" s="653"/>
      <c r="F88" s="705"/>
    </row>
    <row r="89" spans="1:6" ht="25.5" customHeight="1" thickBot="1">
      <c r="A89" s="706"/>
      <c r="B89" s="706"/>
      <c r="C89" s="509"/>
      <c r="D89" s="707"/>
      <c r="E89" s="708"/>
      <c r="F89" s="709"/>
    </row>
    <row r="90" spans="1:6" ht="25.5" customHeight="1" thickBot="1">
      <c r="A90" s="755" t="s">
        <v>105</v>
      </c>
      <c r="B90" s="756"/>
      <c r="C90" s="694">
        <f>SUM(C81:C89)</f>
        <v>0</v>
      </c>
      <c r="D90" s="695">
        <f t="shared" ref="D90:F90" si="7">SUM(D81:D89)</f>
        <v>0</v>
      </c>
      <c r="E90" s="695">
        <f t="shared" si="7"/>
        <v>0</v>
      </c>
      <c r="F90" s="695">
        <f t="shared" si="7"/>
        <v>0</v>
      </c>
    </row>
    <row r="92" spans="1:6" ht="25.5" customHeight="1" thickBot="1"/>
    <row r="93" spans="1:6" ht="25.5" customHeight="1" thickBot="1">
      <c r="A93" s="659" t="s">
        <v>182</v>
      </c>
      <c r="B93" s="757" t="s">
        <v>172</v>
      </c>
      <c r="C93" s="758"/>
      <c r="D93" s="758"/>
      <c r="E93" s="758"/>
      <c r="F93" s="759"/>
    </row>
    <row r="94" spans="1:6" ht="25.5" customHeight="1" thickBot="1">
      <c r="A94" s="499" t="s">
        <v>158</v>
      </c>
      <c r="B94" s="686" t="s">
        <v>157</v>
      </c>
      <c r="C94" s="686" t="s">
        <v>156</v>
      </c>
      <c r="D94" s="687" t="s">
        <v>180</v>
      </c>
      <c r="E94" s="684" t="s">
        <v>141</v>
      </c>
      <c r="F94" s="685" t="s">
        <v>181</v>
      </c>
    </row>
    <row r="95" spans="1:6" ht="25.5" customHeight="1">
      <c r="A95" s="365"/>
      <c r="B95" s="365"/>
      <c r="C95" s="506"/>
      <c r="D95" s="672"/>
      <c r="E95" s="678"/>
      <c r="F95" s="704"/>
    </row>
    <row r="96" spans="1:6" ht="25.5" customHeight="1">
      <c r="A96" s="367"/>
      <c r="B96" s="367"/>
      <c r="C96" s="508"/>
      <c r="D96" s="673"/>
      <c r="E96" s="653"/>
      <c r="F96" s="705"/>
    </row>
    <row r="97" spans="1:6" ht="25.5" customHeight="1">
      <c r="A97" s="367"/>
      <c r="B97" s="367"/>
      <c r="C97" s="508"/>
      <c r="D97" s="673"/>
      <c r="E97" s="653"/>
      <c r="F97" s="705"/>
    </row>
    <row r="98" spans="1:6" ht="25.5" customHeight="1">
      <c r="A98" s="367"/>
      <c r="B98" s="367"/>
      <c r="C98" s="508"/>
      <c r="D98" s="673"/>
      <c r="E98" s="653"/>
      <c r="F98" s="705"/>
    </row>
    <row r="99" spans="1:6" ht="25.5" customHeight="1">
      <c r="A99" s="367"/>
      <c r="B99" s="367"/>
      <c r="C99" s="508"/>
      <c r="D99" s="673"/>
      <c r="E99" s="653"/>
      <c r="F99" s="705"/>
    </row>
    <row r="100" spans="1:6" ht="25.5" customHeight="1">
      <c r="A100" s="367"/>
      <c r="B100" s="367"/>
      <c r="C100" s="508"/>
      <c r="D100" s="673"/>
      <c r="E100" s="653"/>
      <c r="F100" s="705"/>
    </row>
    <row r="101" spans="1:6" ht="25.5" customHeight="1">
      <c r="A101" s="367"/>
      <c r="B101" s="367"/>
      <c r="C101" s="508"/>
      <c r="D101" s="673"/>
      <c r="E101" s="653"/>
      <c r="F101" s="705"/>
    </row>
    <row r="102" spans="1:6" ht="25.5" customHeight="1">
      <c r="A102" s="367"/>
      <c r="B102" s="367"/>
      <c r="C102" s="508"/>
      <c r="D102" s="673"/>
      <c r="E102" s="653"/>
      <c r="F102" s="705"/>
    </row>
    <row r="103" spans="1:6" ht="25.5" customHeight="1" thickBot="1">
      <c r="A103" s="706"/>
      <c r="B103" s="706"/>
      <c r="C103" s="509"/>
      <c r="D103" s="707"/>
      <c r="E103" s="708"/>
      <c r="F103" s="709"/>
    </row>
    <row r="104" spans="1:6" ht="25.5" customHeight="1" thickBot="1">
      <c r="A104" s="755" t="s">
        <v>105</v>
      </c>
      <c r="B104" s="756"/>
      <c r="C104" s="694">
        <f>SUM(C95:C103)</f>
        <v>0</v>
      </c>
      <c r="D104" s="695">
        <f t="shared" ref="D104" si="8">SUM(D95:D103)</f>
        <v>0</v>
      </c>
      <c r="E104" s="695">
        <f t="shared" ref="E104" si="9">SUM(E95:E103)</f>
        <v>0</v>
      </c>
      <c r="F104" s="695">
        <f t="shared" ref="F104" si="10">SUM(F95:F103)</f>
        <v>0</v>
      </c>
    </row>
    <row r="106" spans="1:6" ht="25.5" customHeight="1" thickBot="1"/>
    <row r="107" spans="1:6" ht="25.5" customHeight="1" thickBot="1">
      <c r="A107" s="659" t="s">
        <v>186</v>
      </c>
    </row>
    <row r="108" spans="1:6" ht="25.5" customHeight="1" thickBot="1">
      <c r="A108" s="499" t="s">
        <v>158</v>
      </c>
      <c r="B108" s="686" t="s">
        <v>157</v>
      </c>
      <c r="C108" s="686" t="s">
        <v>156</v>
      </c>
    </row>
    <row r="109" spans="1:6" ht="25.5" customHeight="1">
      <c r="A109" s="365"/>
      <c r="B109" s="365"/>
      <c r="C109" s="506"/>
    </row>
    <row r="110" spans="1:6" ht="25.5" customHeight="1">
      <c r="A110" s="367"/>
      <c r="B110" s="367"/>
      <c r="C110" s="508"/>
    </row>
    <row r="111" spans="1:6" ht="25.5" customHeight="1">
      <c r="A111" s="367"/>
      <c r="B111" s="367"/>
      <c r="C111" s="508"/>
    </row>
    <row r="112" spans="1:6" ht="25.5" customHeight="1">
      <c r="A112" s="367"/>
      <c r="B112" s="367"/>
      <c r="C112" s="508"/>
    </row>
    <row r="113" spans="1:3" ht="25.5" customHeight="1">
      <c r="A113" s="367"/>
      <c r="B113" s="367"/>
      <c r="C113" s="508"/>
    </row>
    <row r="114" spans="1:3" ht="25.5" customHeight="1">
      <c r="A114" s="367"/>
      <c r="B114" s="367"/>
      <c r="C114" s="508"/>
    </row>
    <row r="115" spans="1:3" ht="25.5" customHeight="1">
      <c r="A115" s="367"/>
      <c r="B115" s="367"/>
      <c r="C115" s="508"/>
    </row>
    <row r="116" spans="1:3" ht="25.5" customHeight="1">
      <c r="A116" s="367"/>
      <c r="B116" s="367"/>
      <c r="C116" s="508"/>
    </row>
    <row r="117" spans="1:3" ht="25.5" customHeight="1" thickBot="1">
      <c r="A117" s="706"/>
      <c r="B117" s="706"/>
      <c r="C117" s="509"/>
    </row>
    <row r="118" spans="1:3" ht="25.5" customHeight="1" thickBot="1">
      <c r="A118" s="755" t="s">
        <v>105</v>
      </c>
      <c r="B118" s="756"/>
      <c r="C118" s="694">
        <f>SUM(C109:C117)</f>
        <v>0</v>
      </c>
    </row>
  </sheetData>
  <mergeCells count="5">
    <mergeCell ref="A118:B118"/>
    <mergeCell ref="B79:F79"/>
    <mergeCell ref="A90:B90"/>
    <mergeCell ref="B93:F93"/>
    <mergeCell ref="A104:B104"/>
  </mergeCells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I23"/>
  <sheetViews>
    <sheetView view="pageBreakPreview" topLeftCell="C10" zoomScale="50" zoomScaleNormal="100" zoomScaleSheetLayoutView="50" workbookViewId="0">
      <selection activeCell="F17" sqref="F8:F17"/>
    </sheetView>
  </sheetViews>
  <sheetFormatPr defaultColWidth="28.42578125" defaultRowHeight="25.5" customHeight="1"/>
  <cols>
    <col min="1" max="1" width="34.85546875" style="2" customWidth="1"/>
    <col min="2" max="2" width="28.42578125" style="3" customWidth="1"/>
    <col min="3" max="3" width="28.42578125" style="2"/>
    <col min="4" max="4" width="48" style="2" customWidth="1"/>
    <col min="5" max="5" width="28.42578125" style="2"/>
    <col min="6" max="7" width="45.140625" style="2" customWidth="1"/>
    <col min="8" max="16384" width="28.42578125" style="2"/>
  </cols>
  <sheetData>
    <row r="1" spans="1:9" ht="72" customHeight="1" thickBot="1">
      <c r="A1" s="296" t="s">
        <v>173</v>
      </c>
      <c r="B1" s="111"/>
      <c r="C1" s="110"/>
      <c r="D1" s="107"/>
      <c r="E1" s="110"/>
      <c r="F1" s="105"/>
      <c r="G1" s="430"/>
    </row>
    <row r="2" spans="1:9" ht="25.5" customHeight="1" thickBot="1">
      <c r="A2" s="297" t="s">
        <v>108</v>
      </c>
      <c r="B2" s="533" t="s">
        <v>146</v>
      </c>
      <c r="C2" s="287" t="s">
        <v>154</v>
      </c>
      <c r="D2" s="534" t="s">
        <v>147</v>
      </c>
      <c r="E2" s="535" t="s">
        <v>148</v>
      </c>
      <c r="F2" s="288" t="s">
        <v>152</v>
      </c>
      <c r="G2" s="392" t="s">
        <v>159</v>
      </c>
      <c r="H2" s="536" t="s">
        <v>149</v>
      </c>
      <c r="I2" s="536" t="s">
        <v>150</v>
      </c>
    </row>
    <row r="3" spans="1:9" ht="25.5" customHeight="1">
      <c r="A3" s="313" t="s">
        <v>79</v>
      </c>
      <c r="B3" s="271">
        <f>SUM('1st'!B3+'2nd'!B3+'3rd'!B3+'4th'!B3+'5th'!B3+'6th'!B3+'7th'!B3+'8th'!B3+'9th'!B3+'10th'!B3+'11th'!B3+'12th'!B3+'13th'!B3+'14th'!B3+'15th'!B3+'16th'!B3+'17th'!B3+'18th'!B3+'19th'!B3+'20th'!B3+'21st'!B3+'22nd'!B3+'23rd'!B3+'24th'!B3+'25th'!B3+'26th'!B3+'27th'!B3+'28th'!B3+'29th'!B3+'30th'!B3+'31st'!B3)</f>
        <v>1072.7</v>
      </c>
      <c r="C3" s="269">
        <f>SUM('1st'!C3+'2nd'!C3+'3rd'!C3+'4th'!C3+'5th'!C3+'6th'!C3+'7th'!C3+'8th'!C3+'9th'!C3+'10th'!C3+'11th'!C3+'12th'!C3+'13th'!C3+'14th'!C3+'15th'!C3+'16th'!C3+'17th'!C3+'18th'!C3+'19th'!C3+'20th'!C3+'21st'!C3+'22nd'!C3+'23rd'!C3+'24th'!C3+'25th'!C3+'26th'!C3+'27th'!C3+'28th'!C3+'29th'!C3+'30th'!C3+'31st'!C3)</f>
        <v>6222.74</v>
      </c>
      <c r="D3" s="269">
        <f>SUM('1st'!D3+'2nd'!D3+'3rd'!D3+'4th'!D3+'5th'!D3+'6th'!D3+'7th'!D3+'8th'!D3+'9th'!D3+'10th'!D3+'11th'!D3+'12th'!D3+'13th'!D3+'14th'!D3+'15th'!D3+'16th'!D3+'17th'!D3+'18th'!D3+'19th'!D3+'20th'!D3+'21st'!D3+'22nd'!D3+'23rd'!D3+'24th'!D3+'25th'!D3+'26th'!D3+'27th'!D3+'28th'!D3+'29th'!D3+'30th'!D3+'31st'!D3)</f>
        <v>1053.7</v>
      </c>
      <c r="E3" s="269">
        <f>SUM('1st'!E3+'2nd'!E3+'3rd'!E3+'4th'!E3+'5th'!E3+'6th'!E3+'7th'!E3+'8th'!E3+'9th'!E3+'10th'!E3+'11th'!E3+'12th'!E3+'13th'!E3+'14th'!E3+'15th'!E3+'16th'!E3+'17th'!E3+'18th'!E3+'19th'!E3+'20th'!E3+'21st'!E3+'22nd'!E3+'23rd'!E3+'24th'!E3+'25th'!E3+'26th'!E3+'27th'!E3+'28th'!E3+'29th'!E3+'30th'!E3+'31st'!E3)</f>
        <v>6220.24</v>
      </c>
      <c r="F3" s="269">
        <f>SUM('1st'!F3+'2nd'!F3+'3rd'!F3+'4th'!F3+'5th'!F3+'6th'!F3+'7th'!F3+'8th'!F3+'9th'!F3+'10th'!F3+'11th'!F3+'12th'!F3+'13th'!F3+'14th'!F3+'15th'!F3+'16th'!F3+'17th'!F3+'18th'!F3+'19th'!F3+'20th'!F3+'21st'!F3+'22nd'!F3+'23rd'!F3+'24th'!F3+'25th'!F3+'26th'!F3+'27th'!F3+'28th'!F3+'29th'!F3+'30th'!F3+'31st'!F3)</f>
        <v>-19</v>
      </c>
      <c r="G3" s="269">
        <f>SUM('1st'!G3+'2nd'!G3+'3rd'!G3+'4th'!G3+'5th'!G3+'6th'!G3+'7th'!G3+'8th'!G3+'9th'!G3+'10th'!G3+'11th'!G3+'12th'!G3+'13th'!G3+'14th'!G3+'15th'!G3+'16th'!G3+'17th'!G3+'18th'!G3+'19th'!G3+'20th'!G3+'21st'!G3+'22nd'!G3+'23rd'!G3+'24th'!G3+'25th'!G3+'26th'!G3+'27th'!G3+'28th'!G3+'29th'!G3+'30th'!G3+'31st'!G3)</f>
        <v>-2.5</v>
      </c>
      <c r="H3" s="269">
        <f>SUM('1st'!H3+'2nd'!H3+'3rd'!H3+'4th'!H3+'5th'!H3+'6th'!H3+'7th'!H3+'8th'!H3+'9th'!H3+'10th'!H3+'11th'!H3+'12th'!H3+'13th'!H3+'14th'!H3+'15th'!H3+'16th'!H3+'17th'!H3+'18th'!H3+'19th'!H3+'20th'!H3+'21st'!H3+'22nd'!H3+'23rd'!H3+'24th'!H3+'25th'!H3+'26th'!H3+'27th'!H3+'28th'!H3+'29th'!H3+'30th'!H3+'31st'!H3)</f>
        <v>0</v>
      </c>
      <c r="I3" s="537">
        <f>SUM('1st'!I3+'2nd'!I3+'3rd'!I3+'4th'!I3+'5th'!I3+'6th'!I3+'7th'!I3+'8th'!I3+'9th'!I3+'10th'!I3+'11th'!I3+'12th'!I3+'13th'!I3+'14th'!I3+'15th'!I3+'16th'!I3+'17th'!I3+'18th'!I3+'19th'!I3+'20th'!I3+'21st'!I3+'22nd'!I3+'23rd'!I3+'24th'!I3+'25th'!I3+'26th'!I3+'27th'!I3+'28th'!I3+'29th'!I3+'30th'!I3+'31st'!I3)</f>
        <v>531.57000000000005</v>
      </c>
    </row>
    <row r="4" spans="1:9" ht="25.5" customHeight="1">
      <c r="A4" s="314" t="s">
        <v>80</v>
      </c>
      <c r="B4" s="153">
        <f>SUM('1st'!B4+'2nd'!B4+'3rd'!B4+'4th'!B4+'5th'!B4+'6th'!B4+'7th'!B4+'8th'!B4+'9th'!B4+'10th'!B4+'11th'!B4+'12th'!B4+'13th'!B4+'14th'!B4+'15th'!B4+'16th'!B4+'17th'!B4+'18th'!B4+'19th'!B4+'20th'!B4+'21st'!B4+'22nd'!B4+'23rd'!B4+'24th'!B4+'25th'!B4+'26th'!B4+'27th'!B4+'28th'!B4+'29th'!B4+'30th'!B4+'31st'!B4)</f>
        <v>0</v>
      </c>
      <c r="C4" s="109">
        <f>SUM('1st'!C4+'2nd'!C4+'3rd'!C4+'4th'!C4+'5th'!C4+'6th'!C4+'7th'!C4+'8th'!C4+'9th'!C4+'10th'!C4+'11th'!C4+'12th'!C4+'13th'!C4+'14th'!C4+'15th'!C4+'16th'!C4+'17th'!C4+'18th'!C4+'19th'!C4+'20th'!C4+'21st'!C4+'22nd'!C4+'23rd'!C4+'24th'!C4+'25th'!C4+'26th'!C4+'27th'!C4+'28th'!C4+'29th'!C4+'30th'!C4+'31st'!C4)</f>
        <v>0</v>
      </c>
      <c r="D4" s="109">
        <f>SUM('1st'!D4+'2nd'!D4+'3rd'!D4+'4th'!D4+'5th'!D4+'6th'!D4+'7th'!D4+'8th'!D4+'9th'!D4+'10th'!D4+'11th'!D4+'12th'!D4+'13th'!D4+'14th'!D4+'15th'!D4+'16th'!D4+'17th'!D4+'18th'!D4+'19th'!D4+'20th'!D4+'21st'!D4+'22nd'!D4+'23rd'!D4+'24th'!D4+'25th'!D4+'26th'!D4+'27th'!D4+'28th'!D4+'29th'!D4+'30th'!D4+'31st'!D4)</f>
        <v>0</v>
      </c>
      <c r="E4" s="109">
        <f>SUM('1st'!E4+'2nd'!E4+'3rd'!E4+'4th'!E4+'5th'!E4+'6th'!E4+'7th'!E4+'8th'!E4+'9th'!E4+'10th'!E4+'11th'!E4+'12th'!E4+'13th'!E4+'14th'!E4+'15th'!E4+'16th'!E4+'17th'!E4+'18th'!E4+'19th'!E4+'20th'!E4+'21st'!E4+'22nd'!E4+'23rd'!E4+'24th'!E4+'25th'!E4+'26th'!E4+'27th'!E4+'28th'!E4+'29th'!E4+'30th'!E4+'31st'!E4)</f>
        <v>0</v>
      </c>
      <c r="F4" s="109">
        <f>SUM('1st'!F4+'2nd'!F4+'3rd'!F4+'4th'!F4+'5th'!F4+'6th'!F4+'7th'!F4+'8th'!F4+'9th'!F4+'10th'!F4+'11th'!F4+'12th'!F4+'13th'!F4+'14th'!F4+'15th'!F4+'16th'!F4+'17th'!F4+'18th'!F4+'19th'!F4+'20th'!F4+'21st'!F4+'22nd'!F4+'23rd'!F4+'24th'!F4+'25th'!F4+'26th'!F4+'27th'!F4+'28th'!F4+'29th'!F4+'30th'!F4+'31st'!F4)</f>
        <v>0</v>
      </c>
      <c r="G4" s="109">
        <f>SUM('1st'!G4+'2nd'!G4+'3rd'!G4+'4th'!G4+'5th'!G4+'6th'!G4+'7th'!G4+'8th'!G4+'9th'!G4+'10th'!G4+'11th'!G4+'12th'!G4+'13th'!G4+'14th'!G4+'15th'!G4+'16th'!G4+'17th'!G4+'18th'!G4+'19th'!G4+'20th'!G4+'21st'!G4+'22nd'!G4+'23rd'!G4+'24th'!G4+'25th'!G4+'26th'!G4+'27th'!G4+'28th'!G4+'29th'!G4+'30th'!G4+'31st'!G4)</f>
        <v>0</v>
      </c>
      <c r="H4" s="109">
        <f>SUM('1st'!H4+'2nd'!H4+'3rd'!H4+'4th'!H4+'5th'!H4+'6th'!H4+'7th'!H4+'8th'!H4+'9th'!H4+'10th'!H4+'11th'!H4+'12th'!H4+'13th'!H4+'14th'!H4+'15th'!H4+'16th'!H4+'17th'!H4+'18th'!H4+'19th'!H4+'20th'!H4+'21st'!H4+'22nd'!H4+'23rd'!H4+'24th'!H4+'25th'!H4+'26th'!H4+'27th'!H4+'28th'!H4+'29th'!H4+'30th'!H4+'31st'!H4)</f>
        <v>0</v>
      </c>
      <c r="I4" s="538">
        <f>SUM('1st'!I4+'2nd'!I4+'3rd'!I4+'4th'!I4+'5th'!I4+'6th'!I4+'7th'!I4+'8th'!I4+'9th'!I4+'10th'!I4+'11th'!I4+'12th'!I4+'13th'!I4+'14th'!I4+'15th'!I4+'16th'!I4+'17th'!I4+'18th'!I4+'19th'!I4+'20th'!I4+'21st'!I4+'22nd'!I4+'23rd'!I4+'24th'!I4+'25th'!I4+'26th'!I4+'27th'!I4+'28th'!I4+'29th'!I4+'30th'!I4+'31st'!I4)</f>
        <v>0</v>
      </c>
    </row>
    <row r="5" spans="1:9" s="105" customFormat="1" ht="27" customHeight="1">
      <c r="A5" s="314" t="s">
        <v>81</v>
      </c>
      <c r="B5" s="153">
        <f>SUM('1st'!B5+'2nd'!B5+'3rd'!B5+'4th'!B5+'5th'!B5+'6th'!B5+'7th'!B5+'8th'!B5+'9th'!B5+'10th'!B5+'11th'!B5+'12th'!B5+'13th'!B5+'14th'!B5+'15th'!B5+'16th'!B5+'17th'!B5+'18th'!B5+'19th'!B5+'20th'!B5+'21st'!B5+'22nd'!B5+'23rd'!B5+'24th'!B5+'25th'!B5+'26th'!B5+'27th'!B5+'28th'!B5+'29th'!B5+'30th'!B5+'31st'!B5)</f>
        <v>1995.6999999999998</v>
      </c>
      <c r="C5" s="109">
        <f>SUM('1st'!C5+'2nd'!C5+'3rd'!C5+'4th'!C5+'5th'!C5+'6th'!C5+'7th'!C5+'8th'!C5+'9th'!C5+'10th'!C5+'11th'!C5+'12th'!C5+'13th'!C5+'14th'!C5+'15th'!C5+'16th'!C5+'17th'!C5+'18th'!C5+'19th'!C5+'20th'!C5+'21st'!C5+'22nd'!C5+'23rd'!C5+'24th'!C5+'25th'!C5+'26th'!C5+'27th'!C5+'28th'!C5+'29th'!C5+'30th'!C5+'31st'!C5)</f>
        <v>24971</v>
      </c>
      <c r="D5" s="109">
        <f>SUM('1st'!D5+'2nd'!D5+'3rd'!D5+'4th'!D5+'5th'!D5+'6th'!D5+'7th'!D5+'8th'!D5+'9th'!D5+'10th'!D5+'11th'!D5+'12th'!D5+'13th'!D5+'14th'!D5+'15th'!D5+'16th'!D5+'17th'!D5+'18th'!D5+'19th'!D5+'20th'!D5+'21st'!D5+'22nd'!D5+'23rd'!D5+'24th'!D5+'25th'!D5+'26th'!D5+'27th'!D5+'28th'!D5+'29th'!D5+'30th'!D5+'31st'!D5)</f>
        <v>1993.7999999999997</v>
      </c>
      <c r="E5" s="109">
        <f>SUM('1st'!E5+'2nd'!E5+'3rd'!E5+'4th'!E5+'5th'!E5+'6th'!E5+'7th'!E5+'8th'!E5+'9th'!E5+'10th'!E5+'11th'!E5+'12th'!E5+'13th'!E5+'14th'!E5+'15th'!E5+'16th'!E5+'17th'!E5+'18th'!E5+'19th'!E5+'20th'!E5+'21st'!E5+'22nd'!E5+'23rd'!E5+'24th'!E5+'25th'!E5+'26th'!E5+'27th'!E5+'28th'!E5+'29th'!E5+'30th'!E5+'31st'!E5)</f>
        <v>24971</v>
      </c>
      <c r="F5" s="109">
        <f>SUM('1st'!F5+'2nd'!F5+'3rd'!F5+'4th'!F5+'5th'!F5+'6th'!F5+'7th'!F5+'8th'!F5+'9th'!F5+'10th'!F5+'11th'!F5+'12th'!F5+'13th'!F5+'14th'!F5+'15th'!F5+'16th'!F5+'17th'!F5+'18th'!F5+'19th'!F5+'20th'!F5+'21st'!F5+'22nd'!F5+'23rd'!F5+'24th'!F5+'25th'!F5+'26th'!F5+'27th'!F5+'28th'!F5+'29th'!F5+'30th'!F5+'31st'!F5)</f>
        <v>-1.8999999999999773</v>
      </c>
      <c r="G5" s="109">
        <f>SUM('1st'!G5+'2nd'!G5+'3rd'!G5+'4th'!G5+'5th'!G5+'6th'!G5+'7th'!G5+'8th'!G5+'9th'!G5+'10th'!G5+'11th'!G5+'12th'!G5+'13th'!G5+'14th'!G5+'15th'!G5+'16th'!G5+'17th'!G5+'18th'!G5+'19th'!G5+'20th'!G5+'21st'!G5+'22nd'!G5+'23rd'!G5+'24th'!G5+'25th'!G5+'26th'!G5+'27th'!G5+'28th'!G5+'29th'!G5+'30th'!G5+'31st'!G5)</f>
        <v>0</v>
      </c>
      <c r="H5" s="109">
        <f>SUM('1st'!H5+'2nd'!H5+'3rd'!H5+'4th'!H5+'5th'!H5+'6th'!H5+'7th'!H5+'8th'!H5+'9th'!H5+'10th'!H5+'11th'!H5+'12th'!H5+'13th'!H5+'14th'!H5+'15th'!H5+'16th'!H5+'17th'!H5+'18th'!H5+'19th'!H5+'20th'!H5+'21st'!H5+'22nd'!H5+'23rd'!H5+'24th'!H5+'25th'!H5+'26th'!H5+'27th'!H5+'28th'!H5+'29th'!H5+'30th'!H5+'31st'!H5)</f>
        <v>0</v>
      </c>
      <c r="I5" s="538">
        <f>SUM('1st'!I5+'2nd'!I5+'3rd'!I5+'4th'!I5+'5th'!I5+'6th'!I5+'7th'!I5+'8th'!I5+'9th'!I5+'10th'!I5+'11th'!I5+'12th'!I5+'13th'!I5+'14th'!I5+'15th'!I5+'16th'!I5+'17th'!I5+'18th'!I5+'19th'!I5+'20th'!I5+'21st'!I5+'22nd'!I5+'23rd'!I5+'24th'!I5+'25th'!I5+'26th'!I5+'27th'!I5+'28th'!I5+'29th'!I5+'30th'!I5+'31st'!I5)</f>
        <v>1917.64</v>
      </c>
    </row>
    <row r="6" spans="1:9" s="105" customFormat="1" ht="27" customHeight="1">
      <c r="A6" s="314" t="s">
        <v>78</v>
      </c>
      <c r="B6" s="153">
        <f>SUM('1st'!B6+'2nd'!B6+'3rd'!B6+'4th'!B6+'5th'!B6+'6th'!B6+'7th'!B6+'8th'!B6+'9th'!B6+'10th'!B6+'11th'!B6+'12th'!B6+'13th'!B6+'14th'!B6+'15th'!B6+'16th'!B6+'17th'!B6+'18th'!B6+'19th'!B6+'20th'!B6+'21st'!B6+'22nd'!B6+'23rd'!B6+'24th'!B6+'25th'!B6+'26th'!B6+'27th'!B6+'28th'!B6+'29th'!B6+'30th'!B6+'31st'!B6)</f>
        <v>1856.8999999999999</v>
      </c>
      <c r="C6" s="109">
        <f>SUM('1st'!C6+'2nd'!C6+'3rd'!C6+'4th'!C6+'5th'!C6+'6th'!C6+'7th'!C6+'8th'!C6+'9th'!C6+'10th'!C6+'11th'!C6+'12th'!C6+'13th'!C6+'14th'!C6+'15th'!C6+'16th'!C6+'17th'!C6+'18th'!C6+'19th'!C6+'20th'!C6+'21st'!C6+'22nd'!C6+'23rd'!C6+'24th'!C6+'25th'!C6+'26th'!C6+'27th'!C6+'28th'!C6+'29th'!C6+'30th'!C6+'31st'!C6)</f>
        <v>10691.659999999998</v>
      </c>
      <c r="D6" s="109">
        <f>SUM('1st'!D6+'2nd'!D6+'3rd'!D6+'4th'!D6+'5th'!D6+'6th'!D6+'7th'!D6+'8th'!D6+'9th'!D6+'10th'!D6+'11th'!D6+'12th'!D6+'13th'!D6+'14th'!D6+'15th'!D6+'16th'!D6+'17th'!D6+'18th'!D6+'19th'!D6+'20th'!D6+'21st'!D6+'22nd'!D6+'23rd'!D6+'24th'!D6+'25th'!D6+'26th'!D6+'27th'!D6+'28th'!D6+'29th'!D6+'30th'!D6+'31st'!D6)</f>
        <v>1856.8999999999999</v>
      </c>
      <c r="E6" s="109">
        <f>SUM('1st'!E6+'2nd'!E6+'3rd'!E6+'4th'!E6+'5th'!E6+'6th'!E6+'7th'!E6+'8th'!E6+'9th'!E6+'10th'!E6+'11th'!E6+'12th'!E6+'13th'!E6+'14th'!E6+'15th'!E6+'16th'!E6+'17th'!E6+'18th'!E6+'19th'!E6+'20th'!E6+'21st'!E6+'22nd'!E6+'23rd'!E6+'24th'!E6+'25th'!E6+'26th'!E6+'27th'!E6+'28th'!E6+'29th'!E6+'30th'!E6+'31st'!E6)</f>
        <v>10691.659999999998</v>
      </c>
      <c r="F6" s="109">
        <f>SUM('1st'!F6+'2nd'!F6+'3rd'!F6+'4th'!F6+'5th'!F6+'6th'!F6+'7th'!F6+'8th'!F6+'9th'!F6+'10th'!F6+'11th'!F6+'12th'!F6+'13th'!F6+'14th'!F6+'15th'!F6+'16th'!F6+'17th'!F6+'18th'!F6+'19th'!F6+'20th'!F6+'21st'!F6+'22nd'!F6+'23rd'!F6+'24th'!F6+'25th'!F6+'26th'!F6+'27th'!F6+'28th'!F6+'29th'!F6+'30th'!F6+'31st'!F6)</f>
        <v>0</v>
      </c>
      <c r="G6" s="109">
        <f>SUM('1st'!G6+'2nd'!G6+'3rd'!G6+'4th'!G6+'5th'!G6+'6th'!G6+'7th'!G6+'8th'!G6+'9th'!G6+'10th'!G6+'11th'!G6+'12th'!G6+'13th'!G6+'14th'!G6+'15th'!G6+'16th'!G6+'17th'!G6+'18th'!G6+'19th'!G6+'20th'!G6+'21st'!G6+'22nd'!G6+'23rd'!G6+'24th'!G6+'25th'!G6+'26th'!G6+'27th'!G6+'28th'!G6+'29th'!G6+'30th'!G6+'31st'!G6)</f>
        <v>0</v>
      </c>
      <c r="H6" s="109">
        <f>SUM('1st'!H6+'2nd'!H6+'3rd'!H6+'4th'!H6+'5th'!H6+'6th'!H6+'7th'!H6+'8th'!H6+'9th'!H6+'10th'!H6+'11th'!H6+'12th'!H6+'13th'!H6+'14th'!H6+'15th'!H6+'16th'!H6+'17th'!H6+'18th'!H6+'19th'!H6+'20th'!H6+'21st'!H6+'22nd'!H6+'23rd'!H6+'24th'!H6+'25th'!H6+'26th'!H6+'27th'!H6+'28th'!H6+'29th'!H6+'30th'!H6+'31st'!H6)</f>
        <v>0</v>
      </c>
      <c r="I6" s="538">
        <f>SUM('1st'!I6+'2nd'!I6+'3rd'!I6+'4th'!I6+'5th'!I6+'6th'!I6+'7th'!I6+'8th'!I6+'9th'!I6+'10th'!I6+'11th'!I6+'12th'!I6+'13th'!I6+'14th'!I6+'15th'!I6+'16th'!I6+'17th'!I6+'18th'!I6+'19th'!I6+'20th'!I6+'21st'!I6+'22nd'!I6+'23rd'!I6+'24th'!I6+'25th'!I6+'26th'!I6+'27th'!I6+'28th'!I6+'29th'!I6+'30th'!I6+'31st'!I6)</f>
        <v>926.12</v>
      </c>
    </row>
    <row r="7" spans="1:9" s="105" customFormat="1" ht="27" customHeight="1" thickBot="1">
      <c r="A7" s="315" t="s">
        <v>143</v>
      </c>
      <c r="B7" s="272">
        <f>SUM('1st'!B7+'2nd'!B7+'3rd'!B7+'4th'!B7+'5th'!B7+'6th'!B7+'7th'!B7+'8th'!B7+'9th'!B7+'10th'!B7+'11th'!B7+'12th'!B7+'13th'!B7+'14th'!B7+'15th'!B7+'16th'!B7+'17th'!B7+'18th'!B7+'19th'!B7+'20th'!B7+'21st'!B7+'22nd'!B7+'23rd'!B7+'24th'!B7+'25th'!B7+'26th'!B7+'27th'!B7+'28th'!B7+'29th'!B7+'30th'!B7+'31st'!B7)</f>
        <v>1561.7</v>
      </c>
      <c r="C7" s="270">
        <f>SUM('1st'!C7+'2nd'!C7+'3rd'!C7+'4th'!C7+'5th'!C7+'6th'!C7+'7th'!C7+'8th'!C7+'9th'!C7+'10th'!C7+'11th'!C7+'12th'!C7+'13th'!C7+'14th'!C7+'15th'!C7+'16th'!C7+'17th'!C7+'18th'!C7+'19th'!C7+'20th'!C7+'21st'!C7+'22nd'!C7+'23rd'!C7+'24th'!C7+'25th'!C7+'26th'!C7+'27th'!C7+'28th'!C7+'29th'!C7+'30th'!C7+'31st'!C7)</f>
        <v>9090.7300000000014</v>
      </c>
      <c r="D7" s="270">
        <f>SUM('1st'!D7+'2nd'!D7+'3rd'!D7+'4th'!D7+'5th'!D7+'6th'!D7+'7th'!D7+'8th'!D7+'9th'!D7+'10th'!D7+'11th'!D7+'12th'!D7+'13th'!D7+'14th'!D7+'15th'!D7+'16th'!D7+'17th'!D7+'18th'!D7+'19th'!D7+'20th'!D7+'21st'!D7+'22nd'!D7+'23rd'!D7+'24th'!D7+'25th'!D7+'26th'!D7+'27th'!D7+'28th'!D7+'29th'!D7+'30th'!D7+'31st'!D7)</f>
        <v>1561.7</v>
      </c>
      <c r="E7" s="270">
        <f>SUM('1st'!E7+'2nd'!E7+'3rd'!E7+'4th'!E7+'5th'!E7+'6th'!E7+'7th'!E7+'8th'!E7+'9th'!E7+'10th'!E7+'11th'!E7+'12th'!E7+'13th'!E7+'14th'!E7+'15th'!E7+'16th'!E7+'17th'!E7+'18th'!E7+'19th'!E7+'20th'!E7+'21st'!E7+'22nd'!E7+'23rd'!E7+'24th'!E7+'25th'!E7+'26th'!E7+'27th'!E7+'28th'!E7+'29th'!E7+'30th'!E7+'31st'!E7)</f>
        <v>9090.7300000000014</v>
      </c>
      <c r="F7" s="270">
        <f>SUM('1st'!F7+'2nd'!F7+'3rd'!F7+'4th'!F7+'5th'!F7+'6th'!F7+'7th'!F7+'8th'!F7+'9th'!F7+'10th'!F7+'11th'!F7+'12th'!F7+'13th'!F7+'14th'!F7+'15th'!F7+'16th'!F7+'17th'!F7+'18th'!F7+'19th'!F7+'20th'!F7+'21st'!F7+'22nd'!F7+'23rd'!F7+'24th'!F7+'25th'!F7+'26th'!F7+'27th'!F7+'28th'!F7+'29th'!F7+'30th'!F7+'31st'!F7)</f>
        <v>0</v>
      </c>
      <c r="G7" s="270">
        <f>SUM('1st'!G7+'2nd'!G7+'3rd'!G7+'4th'!G7+'5th'!G7+'6th'!G7+'7th'!G7+'8th'!G7+'9th'!G7+'10th'!G7+'11th'!G7+'12th'!G7+'13th'!G7+'14th'!G7+'15th'!G7+'16th'!G7+'17th'!G7+'18th'!G7+'19th'!G7+'20th'!G7+'21st'!G7+'22nd'!G7+'23rd'!G7+'24th'!G7+'25th'!G7+'26th'!G7+'27th'!G7+'28th'!G7+'29th'!G7+'30th'!G7+'31st'!G7)</f>
        <v>0</v>
      </c>
      <c r="H7" s="270">
        <f>SUM('1st'!H7+'2nd'!H7+'3rd'!H7+'4th'!H7+'5th'!H7+'6th'!H7+'7th'!H7+'8th'!H7+'9th'!H7+'10th'!H7+'11th'!H7+'12th'!H7+'13th'!H7+'14th'!H7+'15th'!H7+'16th'!H7+'17th'!H7+'18th'!H7+'19th'!H7+'20th'!H7+'21st'!H7+'22nd'!H7+'23rd'!H7+'24th'!H7+'25th'!H7+'26th'!H7+'27th'!H7+'28th'!H7+'29th'!H7+'30th'!H7+'31st'!H7)</f>
        <v>0</v>
      </c>
      <c r="I7" s="539">
        <f>SUM('1st'!I7+'2nd'!I7+'3rd'!I7+'4th'!I7+'5th'!I7+'6th'!I7+'7th'!I7+'8th'!I7+'9th'!I7+'10th'!I7+'11th'!I7+'12th'!I7+'13th'!I7+'14th'!I7+'15th'!I7+'16th'!I7+'17th'!I7+'18th'!I7+'19th'!I7+'20th'!I7+'21st'!I7+'22nd'!I7+'23rd'!I7+'24th'!I7+'25th'!I7+'26th'!I7+'27th'!I7+'28th'!I7+'29th'!I7+'30th'!I7+'31st'!I7)</f>
        <v>646.46</v>
      </c>
    </row>
    <row r="8" spans="1:9" ht="25.5" customHeight="1">
      <c r="A8" s="529" t="s">
        <v>82</v>
      </c>
      <c r="B8" s="271">
        <f>SUM('1st'!B8+'2nd'!B8+'3rd'!B8+'4th'!B8+'5th'!B8+'6th'!B8+'7th'!B8+'8th'!B8+'9th'!B8+'10th'!B8+'11th'!B8+'12th'!B8+'13th'!B8+'14th'!B8+'15th'!B8+'16th'!B8+'17th'!B8+'18th'!B8+'19th'!B8+'20th'!B8+'21st'!B8+'22nd'!B8+'23rd'!B8+'24th'!B8+'25th'!B8+'26th'!B8+'27th'!B8+'28th'!B8+'29th'!B8+'30th'!B8+'31st'!B8)</f>
        <v>8039.6000000000013</v>
      </c>
      <c r="C8" s="269">
        <f>SUM('1st'!C8+'2nd'!C8+'3rd'!C8+'4th'!C8+'5th'!C8+'6th'!C8+'7th'!C8+'8th'!C8+'9th'!C8+'10th'!C8+'11th'!C8+'12th'!C8+'13th'!C8+'14th'!C8+'15th'!C8+'16th'!C8+'17th'!C8+'18th'!C8+'19th'!C8+'20th'!C8+'21st'!C8+'22nd'!C8+'23rd'!C8+'24th'!C8+'25th'!C8+'26th'!C8+'27th'!C8+'28th'!C8+'29th'!C8+'30th'!C8+'31st'!C8)</f>
        <v>46854.29</v>
      </c>
      <c r="D8" s="269">
        <f>SUM('1st'!D8+'2nd'!D8+'3rd'!D8+'4th'!D8+'5th'!D8+'6th'!D8+'7th'!D8+'8th'!D8+'9th'!D8+'10th'!D8+'11th'!D8+'12th'!D8+'13th'!D8+'14th'!D8+'15th'!D8+'16th'!D8+'17th'!D8+'18th'!D8+'19th'!D8+'20th'!D8+'21st'!D8+'22nd'!D8+'23rd'!D8+'24th'!D8+'25th'!D8+'26th'!D8+'27th'!D8+'28th'!D8+'29th'!D8+'30th'!D8+'31st'!D8)</f>
        <v>8031.1000000000013</v>
      </c>
      <c r="E8" s="269">
        <f>SUM('1st'!E8+'2nd'!E8+'3rd'!E8+'4th'!E8+'5th'!E8+'6th'!E8+'7th'!E8+'8th'!E8+'9th'!E8+'10th'!E8+'11th'!E8+'12th'!E8+'13th'!E8+'14th'!E8+'15th'!E8+'16th'!E8+'17th'!E8+'18th'!E8+'19th'!E8+'20th'!E8+'21st'!E8+'22nd'!E8+'23rd'!E8+'24th'!E8+'25th'!E8+'26th'!E8+'27th'!E8+'28th'!E8+'29th'!E8+'30th'!E8+'31st'!E8)</f>
        <v>46854.29</v>
      </c>
      <c r="F8" s="269">
        <f>SUM('1st'!F8+'2nd'!F8+'3rd'!F8+'4th'!F8+'5th'!F8+'6th'!F8+'7th'!F8+'8th'!F8+'9th'!F8+'10th'!F8+'11th'!F8+'12th'!F8+'13th'!F8+'14th'!F8+'15th'!F8+'16th'!F8+'17th'!F8+'18th'!F8+'19th'!F8+'20th'!F8+'21st'!F8+'22nd'!F8+'23rd'!F8+'24th'!F8+'25th'!F8+'26th'!F8+'27th'!F8+'28th'!F8+'29th'!F8+'30th'!F8+'31st'!F8)</f>
        <v>-8.4999999999999716</v>
      </c>
      <c r="G8" s="269">
        <f>SUM('1st'!G8+'2nd'!G8+'3rd'!G8+'4th'!G8+'5th'!G8+'6th'!G8+'7th'!G8+'8th'!G8+'9th'!G8+'10th'!G8+'11th'!G8+'12th'!G8+'13th'!G8+'14th'!G8+'15th'!G8+'16th'!G8+'17th'!G8+'18th'!G8+'19th'!G8+'20th'!G8+'21st'!G8+'22nd'!G8+'23rd'!G8+'24th'!G8+'25th'!G8+'26th'!G8+'27th'!G8+'28th'!G8+'29th'!G8+'30th'!G8+'31st'!G8)</f>
        <v>0</v>
      </c>
      <c r="H8" s="269">
        <f>SUM('1st'!H8+'2nd'!H8+'3rd'!H8+'4th'!H8+'5th'!H8+'6th'!H8+'7th'!H8+'8th'!H8+'9th'!H8+'10th'!H8+'11th'!H8+'12th'!H8+'13th'!H8+'14th'!H8+'15th'!H8+'16th'!H8+'17th'!H8+'18th'!H8+'19th'!H8+'20th'!H8+'21st'!H8+'22nd'!H8+'23rd'!H8+'24th'!H8+'25th'!H8+'26th'!H8+'27th'!H8+'28th'!H8+'29th'!H8+'30th'!H8+'31st'!H8)</f>
        <v>0</v>
      </c>
      <c r="I8" s="537">
        <f>SUM('1st'!I8+'2nd'!I8+'3rd'!I8+'4th'!I8+'5th'!I8+'6th'!I8+'7th'!I8+'8th'!I8+'9th'!I8+'10th'!I8+'11th'!I8+'12th'!I8+'13th'!I8+'14th'!I8+'15th'!I8+'16th'!I8+'17th'!I8+'18th'!I8+'19th'!I8+'20th'!I8+'21st'!I8+'22nd'!I8+'23rd'!I8+'24th'!I8+'25th'!I8+'26th'!I8+'27th'!I8+'28th'!I8+'29th'!I8+'30th'!I8+'31st'!I8)</f>
        <v>3333.03</v>
      </c>
    </row>
    <row r="9" spans="1:9" ht="25.5" customHeight="1">
      <c r="A9" s="669" t="s">
        <v>178</v>
      </c>
      <c r="B9" s="153">
        <f>SUM('1st'!B9+'2nd'!B9+'3rd'!B9+'4th'!B9+'5th'!B9+'6th'!B9+'7th'!B9+'8th'!B9+'9th'!B9+'10th'!B9+'11th'!B9+'12th'!B9+'13th'!B9+'14th'!B9+'15th'!B9+'16th'!B9+'17th'!B9+'18th'!B9+'19th'!B9+'20th'!B9+'21st'!B9+'22nd'!B9+'23rd'!B9+'24th'!B9+'25th'!B9+'26th'!B9+'27th'!B9+'28th'!B9+'29th'!B9+'30th'!B9+'31st'!B9)</f>
        <v>3399.1</v>
      </c>
      <c r="C9" s="109">
        <f>SUM('1st'!C9+'2nd'!C9+'3rd'!C9+'4th'!C9+'5th'!C9+'6th'!C9+'7th'!C9+'8th'!C9+'9th'!C9+'10th'!C9+'11th'!C9+'12th'!C9+'13th'!C9+'14th'!C9+'15th'!C9+'16th'!C9+'17th'!C9+'18th'!C9+'19th'!C9+'20th'!C9+'21st'!C9+'22nd'!C9+'23rd'!C9+'24th'!C9+'25th'!C9+'26th'!C9+'27th'!C9+'28th'!C9+'29th'!C9+'30th'!C9+'31st'!C9)</f>
        <v>18897.34</v>
      </c>
      <c r="D9" s="109">
        <f>SUM('1st'!D9+'2nd'!D9+'3rd'!D9+'4th'!D9+'5th'!D9+'6th'!D9+'7th'!D9+'8th'!D9+'9th'!D9+'10th'!D9+'11th'!D9+'12th'!D9+'13th'!D9+'14th'!D9+'15th'!D9+'16th'!D9+'17th'!D9+'18th'!D9+'19th'!D9+'20th'!D9+'21st'!D9+'22nd'!D9+'23rd'!D9+'24th'!D9+'25th'!D9+'26th'!D9+'27th'!D9+'28th'!D9+'29th'!D9+'30th'!D9+'31st'!D9)</f>
        <v>3419.5</v>
      </c>
      <c r="E9" s="109">
        <f>SUM('1st'!E9+'2nd'!E9+'3rd'!E9+'4th'!E9+'5th'!E9+'6th'!E9+'7th'!E9+'8th'!E9+'9th'!E9+'10th'!E9+'11th'!E9+'12th'!E9+'13th'!E9+'14th'!E9+'15th'!E9+'16th'!E9+'17th'!E9+'18th'!E9+'19th'!E9+'20th'!E9+'21st'!E9+'22nd'!E9+'23rd'!E9+'24th'!E9+'25th'!E9+'26th'!E9+'27th'!E9+'28th'!E9+'29th'!E9+'30th'!E9+'31st'!E9)</f>
        <v>18897.34</v>
      </c>
      <c r="F9" s="109">
        <f>SUM('1st'!F9+'2nd'!F9+'3rd'!F9+'4th'!F9+'5th'!F9+'6th'!F9+'7th'!F9+'8th'!F9+'9th'!F9+'10th'!F9+'11th'!F9+'12th'!F9+'13th'!F9+'14th'!F9+'15th'!F9+'16th'!F9+'17th'!F9+'18th'!F9+'19th'!F9+'20th'!F9+'21st'!F9+'22nd'!F9+'23rd'!F9+'24th'!F9+'25th'!F9+'26th'!F9+'27th'!F9+'28th'!F9+'29th'!F9+'30th'!F9+'31st'!F9)</f>
        <v>195.40000000000003</v>
      </c>
      <c r="G9" s="109">
        <f>SUM('1st'!G9+'2nd'!G9+'3rd'!G9+'4th'!G9+'5th'!G9+'6th'!G9+'7th'!G9+'8th'!G9+'9th'!G9+'10th'!G9+'11th'!G9+'12th'!G9+'13th'!G9+'14th'!G9+'15th'!G9+'16th'!G9+'17th'!G9+'18th'!G9+'19th'!G9+'20th'!G9+'21st'!G9+'22nd'!G9+'23rd'!G9+'24th'!G9+'25th'!G9+'26th'!G9+'27th'!G9+'28th'!G9+'29th'!G9+'30th'!G9+'31st'!G9)</f>
        <v>0</v>
      </c>
      <c r="H9" s="109">
        <f>SUM('1st'!H9+'2nd'!H9+'3rd'!H9+'4th'!H9+'5th'!H9+'6th'!H9+'7th'!H9+'8th'!H9+'9th'!H9+'10th'!H9+'11th'!H9+'12th'!H9+'13th'!H9+'14th'!H9+'15th'!H9+'16th'!H9+'17th'!H9+'18th'!H9+'19th'!H9+'20th'!H9+'21st'!H9+'22nd'!H9+'23rd'!H9+'24th'!H9+'25th'!H9+'26th'!H9+'27th'!H9+'28th'!H9+'29th'!H9+'30th'!H9+'31st'!H9)</f>
        <v>0</v>
      </c>
      <c r="I9" s="538">
        <f>SUM('1st'!I9+'2nd'!I9+'3rd'!I9+'4th'!I9+'5th'!I9+'6th'!I9+'7th'!I9+'8th'!I9+'9th'!I9+'10th'!I9+'11th'!I9+'12th'!I9+'13th'!I9+'14th'!I9+'15th'!I9+'16th'!I9+'17th'!I9+'18th'!I9+'19th'!I9+'20th'!I9+'21st'!I9+'22nd'!I9+'23rd'!I9+'24th'!I9+'25th'!I9+'26th'!I9+'27th'!I9+'28th'!I9+'29th'!I9+'30th'!I9+'31st'!I9)</f>
        <v>1365.07</v>
      </c>
    </row>
    <row r="10" spans="1:9" ht="25.5" customHeight="1">
      <c r="A10" s="530" t="s">
        <v>84</v>
      </c>
      <c r="B10" s="153">
        <f>SUM('1st'!B10+'2nd'!B10+'3rd'!B10+'4th'!B10+'5th'!B10+'6th'!B10+'7th'!B10+'8th'!B10+'9th'!B10+'10th'!B10+'11th'!B10+'12th'!B10+'13th'!B10+'14th'!B10+'15th'!B10+'16th'!B10+'17th'!B10+'18th'!B10+'19th'!B10+'20th'!B10+'21st'!B10+'22nd'!B10+'23rd'!B10+'24th'!B10+'25th'!B10+'26th'!B10+'27th'!B10+'28th'!B10+'29th'!B10+'30th'!B10+'31st'!B10)</f>
        <v>0</v>
      </c>
      <c r="C10" s="109">
        <f>SUM('1st'!C10+'2nd'!C10+'3rd'!C10+'4th'!C10+'5th'!C10+'6th'!C10+'7th'!C10+'8th'!C10+'9th'!C10+'10th'!C10+'11th'!C10+'12th'!C10+'13th'!C10+'14th'!C10+'15th'!C10+'16th'!C10+'17th'!C10+'18th'!C10+'19th'!C10+'20th'!C10+'21st'!C10+'22nd'!C10+'23rd'!C10+'24th'!C10+'25th'!C10+'26th'!C10+'27th'!C10+'28th'!C10+'29th'!C10+'30th'!C10+'31st'!C10)</f>
        <v>0</v>
      </c>
      <c r="D10" s="109">
        <f>SUM('1st'!D10+'2nd'!D10+'3rd'!D10+'4th'!D10+'5th'!D10+'6th'!D10+'7th'!D10+'8th'!D10+'9th'!D10+'10th'!D10+'11th'!D10+'12th'!D10+'13th'!D10+'14th'!D10+'15th'!D10+'16th'!D10+'17th'!D10+'18th'!D10+'19th'!D10+'20th'!D10+'21st'!D10+'22nd'!D10+'23rd'!D10+'24th'!D10+'25th'!D10+'26th'!D10+'27th'!D10+'28th'!D10+'29th'!D10+'30th'!D10+'31st'!D10)</f>
        <v>0</v>
      </c>
      <c r="E10" s="109">
        <f>SUM('1st'!E10+'2nd'!E10+'3rd'!E10+'4th'!E10+'5th'!E10+'6th'!E10+'7th'!E10+'8th'!E10+'9th'!E10+'10th'!E10+'11th'!E10+'12th'!E10+'13th'!E10+'14th'!E10+'15th'!E10+'16th'!E10+'17th'!E10+'18th'!E10+'19th'!E10+'20th'!E10+'21st'!E10+'22nd'!E10+'23rd'!E10+'24th'!E10+'25th'!E10+'26th'!E10+'27th'!E10+'28th'!E10+'29th'!E10+'30th'!E10+'31st'!E10)</f>
        <v>0</v>
      </c>
      <c r="F10" s="109">
        <f>SUM('1st'!F10+'2nd'!F10+'3rd'!F10+'4th'!F10+'5th'!F10+'6th'!F10+'7th'!F10+'8th'!F10+'9th'!F10+'10th'!F10+'11th'!F10+'12th'!F10+'13th'!F10+'14th'!F10+'15th'!F10+'16th'!F10+'17th'!F10+'18th'!F10+'19th'!F10+'20th'!F10+'21st'!F10+'22nd'!F10+'23rd'!F10+'24th'!F10+'25th'!F10+'26th'!F10+'27th'!F10+'28th'!F10+'29th'!F10+'30th'!F10+'31st'!F10)</f>
        <v>0</v>
      </c>
      <c r="G10" s="109">
        <f>SUM('1st'!G10+'2nd'!G10+'3rd'!G10+'4th'!G10+'5th'!G10+'6th'!G10+'7th'!G10+'8th'!G10+'9th'!G10+'10th'!G10+'11th'!G10+'12th'!G10+'13th'!G10+'14th'!G10+'15th'!G10+'16th'!G10+'17th'!G10+'18th'!G10+'19th'!G10+'20th'!G10+'21st'!G10+'22nd'!G10+'23rd'!G10+'24th'!G10+'25th'!G10+'26th'!G10+'27th'!G10+'28th'!G10+'29th'!G10+'30th'!G10+'31st'!G10)</f>
        <v>0</v>
      </c>
      <c r="H10" s="109">
        <f>SUM('1st'!H10+'2nd'!H10+'3rd'!H10+'4th'!H10+'5th'!H10+'6th'!H10+'7th'!H10+'8th'!H10+'9th'!H10+'10th'!H10+'11th'!H10+'12th'!H10+'13th'!H10+'14th'!H10+'15th'!H10+'16th'!H10+'17th'!H10+'18th'!H10+'19th'!H10+'20th'!H10+'21st'!H10+'22nd'!H10+'23rd'!H10+'24th'!H10+'25th'!H10+'26th'!H10+'27th'!H10+'28th'!H10+'29th'!H10+'30th'!H10+'31st'!H10)</f>
        <v>0</v>
      </c>
      <c r="I10" s="538">
        <f>SUM('1st'!I10+'2nd'!I10+'3rd'!I10+'4th'!I10+'5th'!I10+'6th'!I10+'7th'!I10+'8th'!I10+'9th'!I10+'10th'!I10+'11th'!I10+'12th'!I10+'13th'!I10+'14th'!I10+'15th'!I10+'16th'!I10+'17th'!I10+'18th'!I10+'19th'!I10+'20th'!I10+'21st'!I10+'22nd'!I10+'23rd'!I10+'24th'!I10+'25th'!I10+'26th'!I10+'27th'!I10+'28th'!I10+'29th'!I10+'30th'!I10+'31st'!I10)</f>
        <v>0</v>
      </c>
    </row>
    <row r="11" spans="1:9" ht="25.5" customHeight="1">
      <c r="A11" s="530" t="s">
        <v>106</v>
      </c>
      <c r="B11" s="153">
        <f>SUM('1st'!B11+'2nd'!B11+'3rd'!B11+'4th'!B11+'5th'!B11+'6th'!B11+'7th'!B11+'8th'!B11+'9th'!B11+'10th'!B11+'11th'!B11+'12th'!B11+'13th'!B11+'14th'!B11+'15th'!B11+'16th'!B11+'17th'!B11+'18th'!B11+'19th'!B11+'20th'!B11+'21st'!B11+'22nd'!B11+'23rd'!B11+'24th'!B11+'25th'!B11+'26th'!B11+'27th'!B11+'28th'!B11+'29th'!B11+'30th'!B11+'31st'!B11)</f>
        <v>2872.8999999999996</v>
      </c>
      <c r="C11" s="109">
        <f>SUM('1st'!C11+'2nd'!C11+'3rd'!C11+'4th'!C11+'5th'!C11+'6th'!C11+'7th'!C11+'8th'!C11+'9th'!C11+'10th'!C11+'11th'!C11+'12th'!C11+'13th'!C11+'14th'!C11+'15th'!C11+'16th'!C11+'17th'!C11+'18th'!C11+'19th'!C11+'20th'!C11+'21st'!C11+'22nd'!C11+'23rd'!C11+'24th'!C11+'25th'!C11+'26th'!C11+'27th'!C11+'28th'!C11+'29th'!C11+'30th'!C11+'31st'!C11)</f>
        <v>19674.100000000002</v>
      </c>
      <c r="D11" s="109">
        <f>SUM('1st'!D11+'2nd'!D11+'3rd'!D11+'4th'!D11+'5th'!D11+'6th'!D11+'7th'!D11+'8th'!D11+'9th'!D11+'10th'!D11+'11th'!D11+'12th'!D11+'13th'!D11+'14th'!D11+'15th'!D11+'16th'!D11+'17th'!D11+'18th'!D11+'19th'!D11+'20th'!D11+'21st'!D11+'22nd'!D11+'23rd'!D11+'24th'!D11+'25th'!D11+'26th'!D11+'27th'!D11+'28th'!D11+'29th'!D11+'30th'!D11+'31st'!D11)</f>
        <v>2869.9</v>
      </c>
      <c r="E11" s="109">
        <f>SUM('1st'!E11+'2nd'!E11+'3rd'!E11+'4th'!E11+'5th'!E11+'6th'!E11+'7th'!E11+'8th'!E11+'9th'!E11+'10th'!E11+'11th'!E11+'12th'!E11+'13th'!E11+'14th'!E11+'15th'!E11+'16th'!E11+'17th'!E11+'18th'!E11+'19th'!E11+'20th'!E11+'21st'!E11+'22nd'!E11+'23rd'!E11+'24th'!E11+'25th'!E11+'26th'!E11+'27th'!E11+'28th'!E11+'29th'!E11+'30th'!E11+'31st'!E11)</f>
        <v>19674.71</v>
      </c>
      <c r="F11" s="109">
        <f>SUM('1st'!F11+'2nd'!F11+'3rd'!F11+'4th'!F11+'5th'!F11+'6th'!F11+'7th'!F11+'8th'!F11+'9th'!F11+'10th'!F11+'11th'!F11+'12th'!F11+'13th'!F11+'14th'!F11+'15th'!F11+'16th'!F11+'17th'!F11+'18th'!F11+'19th'!F11+'20th'!F11+'21st'!F11+'22nd'!F11+'23rd'!F11+'24th'!F11+'25th'!F11+'26th'!F11+'27th'!F11+'28th'!F11+'29th'!F11+'30th'!F11+'31st'!F11)</f>
        <v>-2.9999999999999716</v>
      </c>
      <c r="G11" s="109">
        <f>SUM('1st'!G11+'2nd'!G11+'3rd'!G11+'4th'!G11+'5th'!G11+'6th'!G11+'7th'!G11+'8th'!G11+'9th'!G11+'10th'!G11+'11th'!G11+'12th'!G11+'13th'!G11+'14th'!G11+'15th'!G11+'16th'!G11+'17th'!G11+'18th'!G11+'19th'!G11+'20th'!G11+'21st'!G11+'22nd'!G11+'23rd'!G11+'24th'!G11+'25th'!G11+'26th'!G11+'27th'!G11+'28th'!G11+'29th'!G11+'30th'!G11+'31st'!G11)</f>
        <v>0.61000000000012733</v>
      </c>
      <c r="H11" s="109">
        <f>SUM('1st'!H11+'2nd'!H11+'3rd'!H11+'4th'!H11+'5th'!H11+'6th'!H11+'7th'!H11+'8th'!H11+'9th'!H11+'10th'!H11+'11th'!H11+'12th'!H11+'13th'!H11+'14th'!H11+'15th'!H11+'16th'!H11+'17th'!H11+'18th'!H11+'19th'!H11+'20th'!H11+'21st'!H11+'22nd'!H11+'23rd'!H11+'24th'!H11+'25th'!H11+'26th'!H11+'27th'!H11+'28th'!H11+'29th'!H11+'30th'!H11+'31st'!H11)</f>
        <v>0</v>
      </c>
      <c r="I11" s="538">
        <f>SUM('1st'!I11+'2nd'!I11+'3rd'!I11+'4th'!I11+'5th'!I11+'6th'!I11+'7th'!I11+'8th'!I11+'9th'!I11+'10th'!I11+'11th'!I11+'12th'!I11+'13th'!I11+'14th'!I11+'15th'!I11+'16th'!I11+'17th'!I11+'18th'!I11+'19th'!I11+'20th'!I11+'21st'!I11+'22nd'!I11+'23rd'!I11+'24th'!I11+'25th'!I11+'26th'!I11+'27th'!I11+'28th'!I11+'29th'!I11+'30th'!I11+'31st'!I11)</f>
        <v>1569.6</v>
      </c>
    </row>
    <row r="12" spans="1:9" ht="25.5" customHeight="1">
      <c r="A12" s="530" t="s">
        <v>85</v>
      </c>
      <c r="B12" s="153">
        <f>SUM('1st'!B12+'2nd'!B12+'3rd'!B12+'4th'!B12+'5th'!B12+'6th'!B12+'7th'!B12+'8th'!B12+'9th'!B12+'10th'!B12+'11th'!B12+'12th'!B12+'13th'!B12+'14th'!B12+'15th'!B12+'16th'!B12+'17th'!B12+'18th'!B12+'19th'!B12+'20th'!B12+'21st'!B12+'22nd'!B12+'23rd'!B12+'24th'!B12+'25th'!B12+'26th'!B12+'27th'!B12+'28th'!B12+'29th'!B12+'30th'!B12+'31st'!B12)</f>
        <v>0</v>
      </c>
      <c r="C12" s="109">
        <f>SUM('1st'!C12+'2nd'!C12+'3rd'!C12+'4th'!C12+'5th'!C12+'6th'!C12+'7th'!C12+'8th'!C12+'9th'!C12+'10th'!C12+'11th'!C12+'12th'!C12+'13th'!C12+'14th'!C12+'15th'!C12+'16th'!C12+'17th'!C12+'18th'!C12+'19th'!C12+'20th'!C12+'21st'!C12+'22nd'!C12+'23rd'!C12+'24th'!C12+'25th'!C12+'26th'!C12+'27th'!C12+'28th'!C12+'29th'!C12+'30th'!C12+'31st'!C12)</f>
        <v>0</v>
      </c>
      <c r="D12" s="109">
        <f>SUM('1st'!D12+'2nd'!D12+'3rd'!D12+'4th'!D12+'5th'!D12+'6th'!D12+'7th'!D12+'8th'!D12+'9th'!D12+'10th'!D12+'11th'!D12+'12th'!D12+'13th'!D12+'14th'!D12+'15th'!D12+'16th'!D12+'17th'!D12+'18th'!D12+'19th'!D12+'20th'!D12+'21st'!D12+'22nd'!D12+'23rd'!D12+'24th'!D12+'25th'!D12+'26th'!D12+'27th'!D12+'28th'!D12+'29th'!D12+'30th'!D12+'31st'!D12)</f>
        <v>0</v>
      </c>
      <c r="E12" s="109">
        <f>SUM('1st'!E12+'2nd'!E12+'3rd'!E12+'4th'!E12+'5th'!E12+'6th'!E12+'7th'!E12+'8th'!E12+'9th'!E12+'10th'!E12+'11th'!E12+'12th'!E12+'13th'!E12+'14th'!E12+'15th'!E12+'16th'!E12+'17th'!E12+'18th'!E12+'19th'!E12+'20th'!E12+'21st'!E12+'22nd'!E12+'23rd'!E12+'24th'!E12+'25th'!E12+'26th'!E12+'27th'!E12+'28th'!E12+'29th'!E12+'30th'!E12+'31st'!E12)</f>
        <v>0</v>
      </c>
      <c r="F12" s="109">
        <f>SUM('1st'!F12+'2nd'!F12+'3rd'!F12+'4th'!F12+'5th'!F12+'6th'!F12+'7th'!F12+'8th'!F12+'9th'!F12+'10th'!F12+'11th'!F12+'12th'!F12+'13th'!F12+'14th'!F12+'15th'!F12+'16th'!F12+'17th'!F12+'18th'!F12+'19th'!F12+'20th'!F12+'21st'!F12+'22nd'!F12+'23rd'!F12+'24th'!F12+'25th'!F12+'26th'!F12+'27th'!F12+'28th'!F12+'29th'!F12+'30th'!F12+'31st'!F12)</f>
        <v>0</v>
      </c>
      <c r="G12" s="109">
        <f>SUM('1st'!G12+'2nd'!G12+'3rd'!G12+'4th'!G12+'5th'!G12+'6th'!G12+'7th'!G12+'8th'!G12+'9th'!G12+'10th'!G12+'11th'!G12+'12th'!G12+'13th'!G12+'14th'!G12+'15th'!G12+'16th'!G12+'17th'!G12+'18th'!G12+'19th'!G12+'20th'!G12+'21st'!G12+'22nd'!G12+'23rd'!G12+'24th'!G12+'25th'!G12+'26th'!G12+'27th'!G12+'28th'!G12+'29th'!G12+'30th'!G12+'31st'!G12)</f>
        <v>0</v>
      </c>
      <c r="H12" s="109">
        <f>SUM('1st'!H12+'2nd'!H12+'3rd'!H12+'4th'!H12+'5th'!H12+'6th'!H12+'7th'!H12+'8th'!H12+'9th'!H12+'10th'!H12+'11th'!H12+'12th'!H12+'13th'!H12+'14th'!H12+'15th'!H12+'16th'!H12+'17th'!H12+'18th'!H12+'19th'!H12+'20th'!H12+'21st'!H12+'22nd'!H12+'23rd'!H12+'24th'!H12+'25th'!H12+'26th'!H12+'27th'!H12+'28th'!H12+'29th'!H12+'30th'!H12+'31st'!H12)</f>
        <v>0</v>
      </c>
      <c r="I12" s="538">
        <f>SUM('1st'!I12+'2nd'!I12+'3rd'!I12+'4th'!I12+'5th'!I12+'6th'!I12+'7th'!I12+'8th'!I12+'9th'!I12+'10th'!I12+'11th'!I12+'12th'!I12+'13th'!I12+'14th'!I12+'15th'!I12+'16th'!I12+'17th'!I12+'18th'!I12+'19th'!I12+'20th'!I12+'21st'!I12+'22nd'!I12+'23rd'!I12+'24th'!I12+'25th'!I12+'26th'!I12+'27th'!I12+'28th'!I12+'29th'!I12+'30th'!I12+'31st'!I12)</f>
        <v>0</v>
      </c>
    </row>
    <row r="13" spans="1:9" ht="25.5" customHeight="1">
      <c r="A13" s="530" t="s">
        <v>86</v>
      </c>
      <c r="B13" s="153">
        <f>SUM('1st'!B13+'2nd'!B13+'3rd'!B13+'4th'!B13+'5th'!B13+'6th'!B13+'7th'!B13+'8th'!B13+'9th'!B13+'10th'!B13+'11th'!B13+'12th'!B13+'13th'!B13+'14th'!B13+'15th'!B13+'16th'!B13+'17th'!B13+'18th'!B13+'19th'!B13+'20th'!B13+'21st'!B13+'22nd'!B13+'23rd'!B13+'24th'!B13+'25th'!B13+'26th'!B13+'27th'!B13+'28th'!B13+'29th'!B13+'30th'!B13+'31st'!B13)</f>
        <v>1298.3</v>
      </c>
      <c r="C13" s="109">
        <f>SUM('1st'!C13+'2nd'!C13+'3rd'!C13+'4th'!C13+'5th'!C13+'6th'!C13+'7th'!C13+'8th'!C13+'9th'!C13+'10th'!C13+'11th'!C13+'12th'!C13+'13th'!C13+'14th'!C13+'15th'!C13+'16th'!C13+'17th'!C13+'18th'!C13+'19th'!C13+'20th'!C13+'21st'!C13+'22nd'!C13+'23rd'!C13+'24th'!C13+'25th'!C13+'26th'!C13+'27th'!C13+'28th'!C13+'29th'!C13+'30th'!C13+'31st'!C13)</f>
        <v>7011.91</v>
      </c>
      <c r="D13" s="109">
        <f>SUM('1st'!D13+'2nd'!D13+'3rd'!D13+'4th'!D13+'5th'!D13+'6th'!D13+'7th'!D13+'8th'!D13+'9th'!D13+'10th'!D13+'11th'!D13+'12th'!D13+'13th'!D13+'14th'!D13+'15th'!D13+'16th'!D13+'17th'!D13+'18th'!D13+'19th'!D13+'20th'!D13+'21st'!D13+'22nd'!D13+'23rd'!D13+'24th'!D13+'25th'!D13+'26th'!D13+'27th'!D13+'28th'!D13+'29th'!D13+'30th'!D13+'31st'!D13)</f>
        <v>1308.3</v>
      </c>
      <c r="E13" s="109">
        <f>SUM('1st'!E13+'2nd'!E13+'3rd'!E13+'4th'!E13+'5th'!E13+'6th'!E13+'7th'!E13+'8th'!E13+'9th'!E13+'10th'!E13+'11th'!E13+'12th'!E13+'13th'!E13+'14th'!E13+'15th'!E13+'16th'!E13+'17th'!E13+'18th'!E13+'19th'!E13+'20th'!E13+'21st'!E13+'22nd'!E13+'23rd'!E13+'24th'!E13+'25th'!E13+'26th'!E13+'27th'!E13+'28th'!E13+'29th'!E13+'30th'!E13+'31st'!E13)</f>
        <v>7011.91</v>
      </c>
      <c r="F13" s="109">
        <f>SUM('1st'!F13+'2nd'!F13+'3rd'!F13+'4th'!F13+'5th'!F13+'6th'!F13+'7th'!F13+'8th'!F13+'9th'!F13+'10th'!F13+'11th'!F13+'12th'!F13+'13th'!F13+'14th'!F13+'15th'!F13+'16th'!F13+'17th'!F13+'18th'!F13+'19th'!F13+'20th'!F13+'21st'!F13+'22nd'!F13+'23rd'!F13+'24th'!F13+'25th'!F13+'26th'!F13+'27th'!F13+'28th'!F13+'29th'!F13+'30th'!F13+'31st'!F13)</f>
        <v>10.000000000000014</v>
      </c>
      <c r="G13" s="109">
        <f>SUM('1st'!G13+'2nd'!G13+'3rd'!G13+'4th'!G13+'5th'!G13+'6th'!G13+'7th'!G13+'8th'!G13+'9th'!G13+'10th'!G13+'11th'!G13+'12th'!G13+'13th'!G13+'14th'!G13+'15th'!G13+'16th'!G13+'17th'!G13+'18th'!G13+'19th'!G13+'20th'!G13+'21st'!G13+'22nd'!G13+'23rd'!G13+'24th'!G13+'25th'!G13+'26th'!G13+'27th'!G13+'28th'!G13+'29th'!G13+'30th'!G13+'31st'!G13)</f>
        <v>0</v>
      </c>
      <c r="H13" s="109">
        <f>SUM('1st'!H13+'2nd'!H13+'3rd'!H13+'4th'!H13+'5th'!H13+'6th'!H13+'7th'!H13+'8th'!H13+'9th'!H13+'10th'!H13+'11th'!H13+'12th'!H13+'13th'!H13+'14th'!H13+'15th'!H13+'16th'!H13+'17th'!H13+'18th'!H13+'19th'!H13+'20th'!H13+'21st'!H13+'22nd'!H13+'23rd'!H13+'24th'!H13+'25th'!H13+'26th'!H13+'27th'!H13+'28th'!H13+'29th'!H13+'30th'!H13+'31st'!H13)</f>
        <v>0</v>
      </c>
      <c r="I13" s="538">
        <f>SUM('1st'!I13+'2nd'!I13+'3rd'!I13+'4th'!I13+'5th'!I13+'6th'!I13+'7th'!I13+'8th'!I13+'9th'!I13+'10th'!I13+'11th'!I13+'12th'!I13+'13th'!I13+'14th'!I13+'15th'!I13+'16th'!I13+'17th'!I13+'18th'!I13+'19th'!I13+'20th'!I13+'21st'!I13+'22nd'!I13+'23rd'!I13+'24th'!I13+'25th'!I13+'26th'!I13+'27th'!I13+'28th'!I13+'29th'!I13+'30th'!I13+'31st'!I13)</f>
        <v>617.59999999999991</v>
      </c>
    </row>
    <row r="14" spans="1:9" ht="25.5" customHeight="1">
      <c r="A14" s="530" t="s">
        <v>87</v>
      </c>
      <c r="B14" s="153">
        <f>SUM('1st'!B14+'2nd'!B14+'3rd'!B14+'4th'!B14+'5th'!B14+'6th'!B14+'7th'!B14+'8th'!B14+'9th'!B14+'10th'!B14+'11th'!B14+'12th'!B14+'13th'!B14+'14th'!B14+'15th'!B14+'16th'!B14+'17th'!B14+'18th'!B14+'19th'!B14+'20th'!B14+'21st'!B14+'22nd'!B14+'23rd'!B14+'24th'!B14+'25th'!B14+'26th'!B14+'27th'!B14+'28th'!B14+'29th'!B14+'30th'!B14+'31st'!B14)</f>
        <v>2336.6999999999998</v>
      </c>
      <c r="C14" s="109">
        <f>SUM('1st'!C14+'2nd'!C14+'3rd'!C14+'4th'!C14+'5th'!C14+'6th'!C14+'7th'!C14+'8th'!C14+'9th'!C14+'10th'!C14+'11th'!C14+'12th'!C14+'13th'!C14+'14th'!C14+'15th'!C14+'16th'!C14+'17th'!C14+'18th'!C14+'19th'!C14+'20th'!C14+'21st'!C14+'22nd'!C14+'23rd'!C14+'24th'!C14+'25th'!C14+'26th'!C14+'27th'!C14+'28th'!C14+'29th'!C14+'30th'!C14+'31st'!C14)</f>
        <v>15142.37</v>
      </c>
      <c r="D14" s="109">
        <f>SUM('1st'!D14+'2nd'!D14+'3rd'!D14+'4th'!D14+'5th'!D14+'6th'!D14+'7th'!D14+'8th'!D14+'9th'!D14+'10th'!D14+'11th'!D14+'12th'!D14+'13th'!D14+'14th'!D14+'15th'!D14+'16th'!D14+'17th'!D14+'18th'!D14+'19th'!D14+'20th'!D14+'21st'!D14+'22nd'!D14+'23rd'!D14+'24th'!D14+'25th'!D14+'26th'!D14+'27th'!D14+'28th'!D14+'29th'!D14+'30th'!D14+'31st'!D14)</f>
        <v>2351.1999999999998</v>
      </c>
      <c r="E14" s="109">
        <f>SUM('1st'!E14+'2nd'!E14+'3rd'!E14+'4th'!E14+'5th'!E14+'6th'!E14+'7th'!E14+'8th'!E14+'9th'!E14+'10th'!E14+'11th'!E14+'12th'!E14+'13th'!E14+'14th'!E14+'15th'!E14+'16th'!E14+'17th'!E14+'18th'!E14+'19th'!E14+'20th'!E14+'21st'!E14+'22nd'!E14+'23rd'!E14+'24th'!E14+'25th'!E14+'26th'!E14+'27th'!E14+'28th'!E14+'29th'!E14+'30th'!E14+'31st'!E14)</f>
        <v>15142.37</v>
      </c>
      <c r="F14" s="109">
        <f>SUM('1st'!F14+'2nd'!F14+'3rd'!F14+'4th'!F14+'5th'!F14+'6th'!F14+'7th'!F14+'8th'!F14+'9th'!F14+'10th'!F14+'11th'!F14+'12th'!F14+'13th'!F14+'14th'!F14+'15th'!F14+'16th'!F14+'17th'!F14+'18th'!F14+'19th'!F14+'20th'!F14+'21st'!F14+'22nd'!F14+'23rd'!F14+'24th'!F14+'25th'!F14+'26th'!F14+'27th'!F14+'28th'!F14+'29th'!F14+'30th'!F14+'31st'!F14)</f>
        <v>14.500000000000007</v>
      </c>
      <c r="G14" s="109">
        <f>SUM('1st'!G14+'2nd'!G14+'3rd'!G14+'4th'!G14+'5th'!G14+'6th'!G14+'7th'!G14+'8th'!G14+'9th'!G14+'10th'!G14+'11th'!G14+'12th'!G14+'13th'!G14+'14th'!G14+'15th'!G14+'16th'!G14+'17th'!G14+'18th'!G14+'19th'!G14+'20th'!G14+'21st'!G14+'22nd'!G14+'23rd'!G14+'24th'!G14+'25th'!G14+'26th'!G14+'27th'!G14+'28th'!G14+'29th'!G14+'30th'!G14+'31st'!G14)</f>
        <v>0</v>
      </c>
      <c r="H14" s="109">
        <f>SUM('1st'!H14+'2nd'!H14+'3rd'!H14+'4th'!H14+'5th'!H14+'6th'!H14+'7th'!H14+'8th'!H14+'9th'!H14+'10th'!H14+'11th'!H14+'12th'!H14+'13th'!H14+'14th'!H14+'15th'!H14+'16th'!H14+'17th'!H14+'18th'!H14+'19th'!H14+'20th'!H14+'21st'!H14+'22nd'!H14+'23rd'!H14+'24th'!H14+'25th'!H14+'26th'!H14+'27th'!H14+'28th'!H14+'29th'!H14+'30th'!H14+'31st'!H14)</f>
        <v>0</v>
      </c>
      <c r="I14" s="538" t="e">
        <f>SUM('1st'!I14+'2nd'!I14+'3rd'!I14+'4th'!I14+'5th'!I14+'6th'!I14+'7th'!I14+'8th'!I14+'9th'!I14+'10th'!I14+'11th'!I14+'12th'!I14+'13th'!I14+'14th'!I14+'15th'!I14+'16th'!I14+'17th'!I14+'18th'!I14+'19th'!I14+'20th'!I14+'21st'!I14+'22nd'!I14+'23rd'!I14+'24th'!I14+'25th'!I14+'26th'!I14+'27th'!I14+'28th'!I14+'29th'!I14+'30th'!I14+'31st'!I14)</f>
        <v>#VALUE!</v>
      </c>
    </row>
    <row r="15" spans="1:9" ht="25.5" customHeight="1">
      <c r="A15" s="530" t="s">
        <v>88</v>
      </c>
      <c r="B15" s="153">
        <f>SUM('1st'!B15+'2nd'!B15+'3rd'!B15+'4th'!B15+'5th'!B15+'6th'!B15+'7th'!B15+'8th'!B15+'9th'!B15+'10th'!B15+'11th'!B15+'12th'!B15+'13th'!B15+'14th'!B15+'15th'!B15+'16th'!B15+'17th'!B15+'18th'!B15+'19th'!B15+'20th'!B15+'21st'!B15+'22nd'!B15+'23rd'!B15+'24th'!B15+'25th'!B15+'26th'!B15+'27th'!B15+'28th'!B15+'29th'!B15+'30th'!B15+'31st'!B15)</f>
        <v>1433.3999999999999</v>
      </c>
      <c r="C15" s="109">
        <f>SUM('1st'!C15+'2nd'!C15+'3rd'!C15+'4th'!C15+'5th'!C15+'6th'!C15+'7th'!C15+'8th'!C15+'9th'!C15+'10th'!C15+'11th'!C15+'12th'!C15+'13th'!C15+'14th'!C15+'15th'!C15+'16th'!C15+'17th'!C15+'18th'!C15+'19th'!C15+'20th'!C15+'21st'!C15+'22nd'!C15+'23rd'!C15+'24th'!C15+'25th'!C15+'26th'!C15+'27th'!C15+'28th'!C15+'29th'!C15+'30th'!C15+'31st'!C15)</f>
        <v>10950.04</v>
      </c>
      <c r="D15" s="109">
        <f>SUM('1st'!D15+'2nd'!D15+'3rd'!D15+'4th'!D15+'5th'!D15+'6th'!D15+'7th'!D15+'8th'!D15+'9th'!D15+'10th'!D15+'11th'!D15+'12th'!D15+'13th'!D15+'14th'!D15+'15th'!D15+'16th'!D15+'17th'!D15+'18th'!D15+'19th'!D15+'20th'!D15+'21st'!D15+'22nd'!D15+'23rd'!D15+'24th'!D15+'25th'!D15+'26th'!D15+'27th'!D15+'28th'!D15+'29th'!D15+'30th'!D15+'31st'!D15)</f>
        <v>1440.2</v>
      </c>
      <c r="E15" s="109">
        <f>SUM('1st'!E15+'2nd'!E15+'3rd'!E15+'4th'!E15+'5th'!E15+'6th'!E15+'7th'!E15+'8th'!E15+'9th'!E15+'10th'!E15+'11th'!E15+'12th'!E15+'13th'!E15+'14th'!E15+'15th'!E15+'16th'!E15+'17th'!E15+'18th'!E15+'19th'!E15+'20th'!E15+'21st'!E15+'22nd'!E15+'23rd'!E15+'24th'!E15+'25th'!E15+'26th'!E15+'27th'!E15+'28th'!E15+'29th'!E15+'30th'!E15+'31st'!E15)</f>
        <v>10950.04</v>
      </c>
      <c r="F15" s="109">
        <f>SUM('1st'!F15+'2nd'!F15+'3rd'!F15+'4th'!F15+'5th'!F15+'6th'!F15+'7th'!F15+'8th'!F15+'9th'!F15+'10th'!F15+'11th'!F15+'12th'!F15+'13th'!F15+'14th'!F15+'15th'!F15+'16th'!F15+'17th'!F15+'18th'!F15+'19th'!F15+'20th'!F15+'21st'!F15+'22nd'!F15+'23rd'!F15+'24th'!F15+'25th'!F15+'26th'!F15+'27th'!F15+'28th'!F15+'29th'!F15+'30th'!F15+'31st'!F15)</f>
        <v>6.8000000000000114</v>
      </c>
      <c r="G15" s="109">
        <f>SUM('1st'!G15+'2nd'!G15+'3rd'!G15+'4th'!G15+'5th'!G15+'6th'!G15+'7th'!G15+'8th'!G15+'9th'!G15+'10th'!G15+'11th'!G15+'12th'!G15+'13th'!G15+'14th'!G15+'15th'!G15+'16th'!G15+'17th'!G15+'18th'!G15+'19th'!G15+'20th'!G15+'21st'!G15+'22nd'!G15+'23rd'!G15+'24th'!G15+'25th'!G15+'26th'!G15+'27th'!G15+'28th'!G15+'29th'!G15+'30th'!G15+'31st'!G15)</f>
        <v>0</v>
      </c>
      <c r="H15" s="109">
        <f>SUM('1st'!H15+'2nd'!H15+'3rd'!H15+'4th'!H15+'5th'!H15+'6th'!H15+'7th'!H15+'8th'!H15+'9th'!H15+'10th'!H15+'11th'!H15+'12th'!H15+'13th'!H15+'14th'!H15+'15th'!H15+'16th'!H15+'17th'!H15+'18th'!H15+'19th'!H15+'20th'!H15+'21st'!H15+'22nd'!H15+'23rd'!H15+'24th'!H15+'25th'!H15+'26th'!H15+'27th'!H15+'28th'!H15+'29th'!H15+'30th'!H15+'31st'!H15)</f>
        <v>0</v>
      </c>
      <c r="I15" s="538">
        <f>SUM('1st'!I15+'2nd'!I15+'3rd'!I15+'4th'!I15+'5th'!I15+'6th'!I15+'7th'!I15+'8th'!I15+'9th'!I15+'10th'!I15+'11th'!I15+'12th'!I15+'13th'!I15+'14th'!I15+'15th'!I15+'16th'!I15+'17th'!I15+'18th'!I15+'19th'!I15+'20th'!I15+'21st'!I15+'22nd'!I15+'23rd'!I15+'24th'!I15+'25th'!I15+'26th'!I15+'27th'!I15+'28th'!I15+'29th'!I15+'30th'!I15+'31st'!I15)</f>
        <v>1035.8699999999999</v>
      </c>
    </row>
    <row r="16" spans="1:9" ht="25.5" customHeight="1">
      <c r="A16" s="530" t="s">
        <v>107</v>
      </c>
      <c r="B16" s="153">
        <f>SUM('1st'!B16+'2nd'!B16+'3rd'!B16+'4th'!B16+'5th'!B16+'6th'!B16+'7th'!B16+'8th'!B16+'9th'!B16+'10th'!B16+'11th'!B16+'12th'!B16+'13th'!B16+'14th'!B16+'15th'!B16+'16th'!B16+'17th'!B16+'18th'!B16+'19th'!B16+'20th'!B16+'21st'!B16+'22nd'!B16+'23rd'!B16+'24th'!B16+'25th'!B16+'26th'!B16+'27th'!B16+'28th'!B16+'29th'!B16+'30th'!B16+'31st'!B16)</f>
        <v>11691.3</v>
      </c>
      <c r="C16" s="109">
        <f>SUM('1st'!C16+'2nd'!C16+'3rd'!C16+'4th'!C16+'5th'!C16+'6th'!C16+'7th'!C16+'8th'!C16+'9th'!C16+'10th'!C16+'11th'!C16+'12th'!C16+'13th'!C16+'14th'!C16+'15th'!C16+'16th'!C16+'17th'!C16+'18th'!C16+'19th'!C16+'20th'!C16+'21st'!C16+'22nd'!C16+'23rd'!C16+'24th'!C16+'25th'!C16+'26th'!C16+'27th'!C16+'28th'!C16+'29th'!C16+'30th'!C16+'31st'!C16)</f>
        <v>67110.709999999992</v>
      </c>
      <c r="D16" s="109">
        <f>SUM('1st'!D16+'2nd'!D16+'3rd'!D16+'4th'!D16+'5th'!D16+'6th'!D16+'7th'!D16+'8th'!D16+'9th'!D16+'10th'!D16+'11th'!D16+'12th'!D16+'13th'!D16+'14th'!D16+'15th'!D16+'16th'!D16+'17th'!D16+'18th'!D16+'19th'!D16+'20th'!D16+'21st'!D16+'22nd'!D16+'23rd'!D16+'24th'!D16+'25th'!D16+'26th'!D16+'27th'!D16+'28th'!D16+'29th'!D16+'30th'!D16+'31st'!D16)</f>
        <v>11703.900000000001</v>
      </c>
      <c r="E16" s="109">
        <f>SUM('1st'!E16+'2nd'!E16+'3rd'!E16+'4th'!E16+'5th'!E16+'6th'!E16+'7th'!E16+'8th'!E16+'9th'!E16+'10th'!E16+'11th'!E16+'12th'!E16+'13th'!E16+'14th'!E16+'15th'!E16+'16th'!E16+'17th'!E16+'18th'!E16+'19th'!E16+'20th'!E16+'21st'!E16+'22nd'!E16+'23rd'!E16+'24th'!E16+'25th'!E16+'26th'!E16+'27th'!E16+'28th'!E16+'29th'!E16+'30th'!E16+'31st'!E16)</f>
        <v>67110.368999999992</v>
      </c>
      <c r="F16" s="109">
        <f>SUM('1st'!F16+'2nd'!F16+'3rd'!F16+'4th'!F16+'5th'!F16+'6th'!F16+'7th'!F16+'8th'!F16+'9th'!F16+'10th'!F16+'11th'!F16+'12th'!F16+'13th'!F16+'14th'!F16+'15th'!F16+'16th'!F16+'17th'!F16+'18th'!F16+'19th'!F16+'20th'!F16+'21st'!F16+'22nd'!F16+'23rd'!F16+'24th'!F16+'25th'!F16+'26th'!F16+'27th'!F16+'28th'!F16+'29th'!F16+'30th'!F16+'31st'!F16)</f>
        <v>12.600000000000023</v>
      </c>
      <c r="G16" s="109">
        <f>SUM('1st'!G16+'2nd'!G16+'3rd'!G16+'4th'!G16+'5th'!G16+'6th'!G16+'7th'!G16+'8th'!G16+'9th'!G16+'10th'!G16+'11th'!G16+'12th'!G16+'13th'!G16+'14th'!G16+'15th'!G16+'16th'!G16+'17th'!G16+'18th'!G16+'19th'!G16+'20th'!G16+'21st'!G16+'22nd'!G16+'23rd'!G16+'24th'!G16+'25th'!G16+'26th'!G16+'27th'!G16+'28th'!G16+'29th'!G16+'30th'!G16+'31st'!G16)</f>
        <v>-0.3409999999998945</v>
      </c>
      <c r="H16" s="109">
        <f>SUM('1st'!H16+'2nd'!H16+'3rd'!H16+'4th'!H16+'5th'!H16+'6th'!H16+'7th'!H16+'8th'!H16+'9th'!H16+'10th'!H16+'11th'!H16+'12th'!H16+'13th'!H16+'14th'!H16+'15th'!H16+'16th'!H16+'17th'!H16+'18th'!H16+'19th'!H16+'20th'!H16+'21st'!H16+'22nd'!H16+'23rd'!H16+'24th'!H16+'25th'!H16+'26th'!H16+'27th'!H16+'28th'!H16+'29th'!H16+'30th'!H16+'31st'!H16)</f>
        <v>0</v>
      </c>
      <c r="I16" s="538">
        <f>SUM('1st'!I16+'2nd'!I16+'3rd'!I16+'4th'!I16+'5th'!I16+'6th'!I16+'7th'!I16+'8th'!I16+'9th'!I16+'10th'!I16+'11th'!I16+'12th'!I16+'13th'!I16+'14th'!I16+'15th'!I16+'16th'!I16+'17th'!I16+'18th'!I16+'19th'!I16+'20th'!I16+'21st'!I16+'22nd'!I16+'23rd'!I16+'24th'!I16+'25th'!I16+'26th'!I16+'27th'!I16+'28th'!I16+'29th'!I16+'30th'!I16+'31st'!I16)</f>
        <v>6170.6800000000012</v>
      </c>
    </row>
    <row r="17" spans="1:9" ht="25.5" customHeight="1" thickBot="1">
      <c r="A17" s="531" t="s">
        <v>89</v>
      </c>
      <c r="B17" s="272">
        <f>SUM('1st'!B17+'2nd'!B17+'3rd'!B17+'4th'!B17+'5th'!B17+'6th'!B17+'7th'!B17+'8th'!B17+'9th'!B17+'10th'!B17+'11th'!B17+'12th'!B17+'13th'!B17+'14th'!B17+'15th'!B17+'16th'!B17+'17th'!B17+'18th'!B17+'19th'!B17+'20th'!B17+'21st'!B17+'22nd'!B17+'23rd'!B17+'24th'!B17+'25th'!B17+'26th'!B17+'27th'!B17+'28th'!B17+'29th'!B17+'30th'!B17+'31st'!B17)</f>
        <v>2127.5</v>
      </c>
      <c r="C17" s="270">
        <f>SUM('1st'!C17+'2nd'!C17+'3rd'!C17+'4th'!C17+'5th'!C17+'6th'!C17+'7th'!C17+'8th'!C17+'9th'!C17+'10th'!C17+'11th'!C17+'12th'!C17+'13th'!C17+'14th'!C17+'15th'!C17+'16th'!C17+'17th'!C17+'18th'!C17+'19th'!C17+'20th'!C17+'21st'!C17+'22nd'!C17+'23rd'!C17+'24th'!C17+'25th'!C17+'26th'!C17+'27th'!C17+'28th'!C17+'29th'!C17+'30th'!C17+'31st'!C17)</f>
        <v>8504.0999999999985</v>
      </c>
      <c r="D17" s="270">
        <f>SUM('1st'!D17+'2nd'!D17+'3rd'!D17+'4th'!D17+'5th'!D17+'6th'!D17+'7th'!D17+'8th'!D17+'9th'!D17+'10th'!D17+'11th'!D17+'12th'!D17+'13th'!D17+'14th'!D17+'15th'!D17+'16th'!D17+'17th'!D17+'18th'!D17+'19th'!D17+'20th'!D17+'21st'!D17+'22nd'!D17+'23rd'!D17+'24th'!D17+'25th'!D17+'26th'!D17+'27th'!D17+'28th'!D17+'29th'!D17+'30th'!D17+'31st'!D17)</f>
        <v>2139.1000000000004</v>
      </c>
      <c r="E17" s="270">
        <f>SUM('1st'!E17+'2nd'!E17+'3rd'!E17+'4th'!E17+'5th'!E17+'6th'!E17+'7th'!E17+'8th'!E17+'9th'!E17+'10th'!E17+'11th'!E17+'12th'!E17+'13th'!E17+'14th'!E17+'15th'!E17+'16th'!E17+'17th'!E17+'18th'!E17+'19th'!E17+'20th'!E17+'21st'!E17+'22nd'!E17+'23rd'!E17+'24th'!E17+'25th'!E17+'26th'!E17+'27th'!E17+'28th'!E17+'29th'!E17+'30th'!E17+'31st'!E17)</f>
        <v>8504.0999999999985</v>
      </c>
      <c r="F17" s="270">
        <f>SUM('1st'!F17+'2nd'!F17+'3rd'!F17+'4th'!F17+'5th'!F17+'6th'!F17+'7th'!F17+'8th'!F17+'9th'!F17+'10th'!F17+'11th'!F17+'12th'!F17+'13th'!F17+'14th'!F17+'15th'!F17+'16th'!F17+'17th'!F17+'18th'!F17+'19th'!F17+'20th'!F17+'21st'!F17+'22nd'!F17+'23rd'!F17+'24th'!F17+'25th'!F17+'26th'!F17+'27th'!F17+'28th'!F17+'29th'!F17+'30th'!F17+'31st'!F17)</f>
        <v>11.599999999999994</v>
      </c>
      <c r="G17" s="270">
        <f>SUM('1st'!G17+'2nd'!G17+'3rd'!G17+'4th'!G17+'5th'!G17+'6th'!G17+'7th'!G17+'8th'!G17+'9th'!G17+'10th'!G17+'11th'!G17+'12th'!G17+'13th'!G17+'14th'!G17+'15th'!G17+'16th'!G17+'17th'!G17+'18th'!G17+'19th'!G17+'20th'!G17+'21st'!G17+'22nd'!G17+'23rd'!G17+'24th'!G17+'25th'!G17+'26th'!G17+'27th'!G17+'28th'!G17+'29th'!G17+'30th'!G17+'31st'!G17)</f>
        <v>0</v>
      </c>
      <c r="H17" s="270">
        <f>SUM('1st'!H17+'2nd'!H17+'3rd'!H17+'4th'!H17+'5th'!H17+'6th'!H17+'7th'!H17+'8th'!H17+'9th'!H17+'10th'!H17+'11th'!H17+'12th'!H17+'13th'!H17+'14th'!H17+'15th'!H17+'16th'!H17+'17th'!H17+'18th'!H17+'19th'!H17+'20th'!H17+'21st'!H17+'22nd'!H17+'23rd'!H17+'24th'!H17+'25th'!H17+'26th'!H17+'27th'!H17+'28th'!H17+'29th'!H17+'30th'!H17+'31st'!H17)</f>
        <v>0</v>
      </c>
      <c r="I17" s="539">
        <f>SUM('1st'!I17+'2nd'!I17+'3rd'!I17+'4th'!I17+'5th'!I17+'6th'!I17+'7th'!I17+'8th'!I17+'9th'!I17+'10th'!I17+'11th'!I17+'12th'!I17+'13th'!I17+'14th'!I17+'15th'!I17+'16th'!I17+'17th'!I17+'18th'!I17+'19th'!I17+'20th'!I17+'21st'!I17+'22nd'!I17+'23rd'!I17+'24th'!I17+'25th'!I17+'26th'!I17+'27th'!I17+'28th'!I17+'29th'!I17+'30th'!I17+'31st'!I17)</f>
        <v>37.919999999999995</v>
      </c>
    </row>
    <row r="18" spans="1:9" ht="25.5" customHeight="1" thickBot="1">
      <c r="A18" s="284" t="s">
        <v>151</v>
      </c>
      <c r="B18" s="532">
        <f>SUM(B8:B17)</f>
        <v>33198.800000000003</v>
      </c>
      <c r="C18" s="532">
        <f t="shared" ref="C18:H18" si="0">SUM(C8:C17)</f>
        <v>194144.86000000002</v>
      </c>
      <c r="D18" s="532">
        <f t="shared" si="0"/>
        <v>33263.200000000004</v>
      </c>
      <c r="E18" s="532">
        <f t="shared" si="0"/>
        <v>194145.12899999999</v>
      </c>
      <c r="F18" s="532">
        <f t="shared" si="0"/>
        <v>239.40000000000012</v>
      </c>
      <c r="G18" s="532">
        <f t="shared" si="0"/>
        <v>0.26900000000023283</v>
      </c>
      <c r="H18" s="532">
        <f t="shared" si="0"/>
        <v>0</v>
      </c>
      <c r="I18" s="532" t="e">
        <f>SUM(I8:I17)</f>
        <v>#VALUE!</v>
      </c>
    </row>
    <row r="19" spans="1:9" ht="25.5" customHeight="1" thickBot="1">
      <c r="A19" s="410" t="s">
        <v>155</v>
      </c>
      <c r="B19" s="272">
        <f>SUM('1st'!B19+'2nd'!B19+'3rd'!B19+'4th'!B19+'5th'!B19+'6th'!B19+'7th'!B19+'8th'!B19+'9th'!B19+'10th'!B19+'11th'!B19+'12th'!B19+'13th'!B19+'14th'!B19+'15th'!B19+'16th'!B19+'17th'!B19+'18th'!B19+'19th'!B19+'20th'!B19+'21st'!B19+'22nd'!B19+'23rd'!B19+'24th'!B19+'25th'!B19+'26th'!B19+'27th'!B19+'28th'!B19+'29th'!B19+'30th'!B19+'31st'!B19)</f>
        <v>0</v>
      </c>
      <c r="C19" s="272">
        <f>SUM('1st'!C19+'2nd'!C19+'3rd'!C19+'4th'!C19+'5th'!C19+'6th'!C19+'7th'!C19+'8th'!C19+'9th'!C19+'10th'!C19+'11th'!C19+'12th'!C19+'13th'!C19+'14th'!C19+'15th'!C19+'16th'!C19+'17th'!C19+'18th'!C19+'19th'!C19+'20th'!C19+'21st'!C19+'22nd'!C19+'23rd'!C19+'24th'!C19+'25th'!C19+'26th'!C19+'27th'!C19+'28th'!C19+'29th'!C19+'30th'!C19+'31st'!C19)</f>
        <v>0</v>
      </c>
      <c r="D19" s="272">
        <f>SUM('1st'!D19+'2nd'!D19+'3rd'!D19+'4th'!D19+'5th'!D19+'6th'!D19+'7th'!D19+'8th'!D19+'9th'!D19+'10th'!D19+'11th'!D19+'12th'!D19+'13th'!D19+'14th'!D19+'15th'!D19+'16th'!D19+'17th'!D19+'18th'!D19+'19th'!D19+'20th'!D19+'21st'!D19+'22nd'!D19+'23rd'!D19+'24th'!D19+'25th'!D19+'26th'!D19+'27th'!D19+'28th'!D19+'29th'!D19+'30th'!D19+'31st'!D19)</f>
        <v>0</v>
      </c>
      <c r="E19" s="272">
        <f>SUM('1st'!E19+'2nd'!E19+'3rd'!E19+'4th'!E19+'5th'!E19+'6th'!E19+'7th'!E19+'8th'!E19+'9th'!E19+'10th'!E19+'11th'!E19+'12th'!E19+'13th'!E19+'14th'!E19+'15th'!E19+'16th'!E19+'17th'!E19+'18th'!E19+'19th'!E19+'20th'!E19+'21st'!E19+'22nd'!E19+'23rd'!E19+'24th'!E19+'25th'!E19+'26th'!E19+'27th'!E19+'28th'!E19+'29th'!E19+'30th'!E19+'31st'!E19)</f>
        <v>0</v>
      </c>
      <c r="F19" s="272">
        <f>SUM('1st'!F19+'2nd'!F19+'3rd'!F19+'4th'!F19+'5th'!F19+'6th'!F19+'7th'!F19+'8th'!F19+'9th'!F19+'10th'!F19+'11th'!F19+'12th'!F19+'13th'!F19+'14th'!F19+'15th'!F19+'16th'!F19+'17th'!F19+'18th'!F19+'19th'!F19+'20th'!F19+'21st'!F19+'22nd'!F19+'23rd'!F19+'24th'!F19+'25th'!F19+'26th'!F19+'27th'!F19+'28th'!F19+'29th'!F19+'30th'!F19+'31st'!F19)</f>
        <v>0</v>
      </c>
      <c r="G19" s="272">
        <f>SUM('1st'!G19+'2nd'!G19+'3rd'!G19+'4th'!G19+'5th'!G19+'6th'!G19+'7th'!G19+'8th'!G19+'9th'!G19+'10th'!G19+'11th'!G19+'12th'!G19+'13th'!G19+'14th'!G19+'15th'!G19+'16th'!G19+'17th'!G19+'18th'!G19+'19th'!G19+'20th'!G19+'21st'!G19+'22nd'!G19+'23rd'!G19+'24th'!G19+'25th'!G19+'26th'!G19+'27th'!G19+'28th'!G19+'29th'!G19+'30th'!G19+'31st'!G19)</f>
        <v>0</v>
      </c>
      <c r="H19" s="272">
        <f>SUM('1st'!H19+'2nd'!H19+'3rd'!H19+'4th'!H19+'5th'!H19+'6th'!H19+'7th'!H19+'8th'!H19+'9th'!H19+'10th'!H19+'11th'!H19+'12th'!H19+'13th'!H19+'14th'!H19+'15th'!H19+'16th'!H19+'17th'!H19+'18th'!H19+'19th'!H19+'20th'!H19+'21st'!H19+'22nd'!H19+'23rd'!H19+'24th'!H19+'25th'!H19+'26th'!H19+'27th'!H19+'28th'!H19+'29th'!H19+'30th'!H19+'31st'!H19)</f>
        <v>0</v>
      </c>
      <c r="I19" s="272">
        <f>SUM('1st'!I19+'2nd'!I19+'3rd'!I19+'4th'!I19+'5th'!I19+'6th'!I19+'7th'!I19+'8th'!I19+'9th'!I19+'10th'!I19+'11th'!I19+'12th'!I19+'13th'!I19+'14th'!I19+'15th'!I19+'16th'!I19+'17th'!I19+'18th'!I19+'19th'!I19+'20th'!I19+'21st'!I19+'22nd'!I19+'23rd'!I19+'24th'!I19+'25th'!I19+'26th'!I19+'27th'!I19+'28th'!I19+'29th'!I19+'30th'!I19+'31st'!I19)</f>
        <v>0</v>
      </c>
    </row>
    <row r="20" spans="1:9" ht="25.5" customHeight="1" thickBot="1">
      <c r="A20" s="540" t="s">
        <v>136</v>
      </c>
      <c r="B20" s="272">
        <f>SUM('1st'!B20+'2nd'!B20+'3rd'!B20+'4th'!B20+'5th'!B20+'6th'!B20+'7th'!B20+'8th'!B20+'9th'!B20+'10th'!B20+'11th'!B20+'12th'!B20+'13th'!B20+'14th'!B20+'15th'!B20+'16th'!B20+'17th'!B20+'18th'!B20+'19th'!B20+'20th'!B20+'21st'!B20+'22nd'!B20+'23rd'!B20+'24th'!B20+'25th'!B20+'26th'!B20+'27th'!B20+'28th'!B20+'29th'!B20+'30th'!B20+'31st'!B20)</f>
        <v>0</v>
      </c>
      <c r="C20" s="272">
        <f>SUM('1st'!C20+'2nd'!C20+'3rd'!C20+'4th'!C20+'5th'!C20+'6th'!C20+'7th'!C20+'8th'!C20+'9th'!C20+'10th'!C20+'11th'!C20+'12th'!C20+'13th'!C20+'14th'!C20+'15th'!C20+'16th'!C20+'17th'!C20+'18th'!C20+'19th'!C20+'20th'!C20+'21st'!C20+'22nd'!C20+'23rd'!C20+'24th'!C20+'25th'!C20+'26th'!C20+'27th'!C20+'28th'!C20+'29th'!C20+'30th'!C20+'31st'!C20)</f>
        <v>0</v>
      </c>
      <c r="D20" s="272">
        <f>SUM('1st'!D20+'2nd'!D20+'3rd'!D20+'4th'!D20+'5th'!D20+'6th'!D20+'7th'!D20+'8th'!D20+'9th'!D20+'10th'!D20+'11th'!D20+'12th'!D20+'13th'!D20+'14th'!D20+'15th'!D20+'16th'!D20+'17th'!D20+'18th'!D20+'19th'!D20+'20th'!D20+'21st'!D20+'22nd'!D20+'23rd'!D20+'24th'!D20+'25th'!D20+'26th'!D20+'27th'!D20+'28th'!D20+'29th'!D20+'30th'!D20+'31st'!D20)</f>
        <v>0</v>
      </c>
      <c r="E20" s="272">
        <f>SUM('1st'!E20+'2nd'!E20+'3rd'!E20+'4th'!E20+'5th'!E20+'6th'!E20+'7th'!E20+'8th'!E20+'9th'!E20+'10th'!E20+'11th'!E20+'12th'!E20+'13th'!E20+'14th'!E20+'15th'!E20+'16th'!E20+'17th'!E20+'18th'!E20+'19th'!E20+'20th'!E20+'21st'!E20+'22nd'!E20+'23rd'!E20+'24th'!E20+'25th'!E20+'26th'!E20+'27th'!E20+'28th'!E20+'29th'!E20+'30th'!E20+'31st'!E20)</f>
        <v>0</v>
      </c>
      <c r="F20" s="272">
        <f>SUM('1st'!F20+'2nd'!F20+'3rd'!F20+'4th'!F20+'5th'!F20+'6th'!F20+'7th'!F20+'8th'!F20+'9th'!F20+'10th'!F20+'11th'!F20+'12th'!F20+'13th'!F20+'14th'!F20+'15th'!F20+'16th'!F20+'17th'!F20+'18th'!F20+'19th'!F20+'20th'!F20+'21st'!F20+'22nd'!F20+'23rd'!F20+'24th'!F20+'25th'!F20+'26th'!F20+'27th'!F20+'28th'!F20+'29th'!F20+'30th'!F20+'31st'!F20)</f>
        <v>0</v>
      </c>
      <c r="G20" s="272">
        <f>SUM('1st'!G20+'2nd'!G20+'3rd'!G20+'4th'!G20+'5th'!G20+'6th'!G20+'7th'!G20+'8th'!G20+'9th'!G20+'10th'!G20+'11th'!G20+'12th'!G20+'13th'!G20+'14th'!G20+'15th'!G20+'16th'!G20+'17th'!G20+'18th'!G20+'19th'!G20+'20th'!G20+'21st'!G20+'22nd'!G20+'23rd'!G20+'24th'!G20+'25th'!G20+'26th'!G20+'27th'!G20+'28th'!G20+'29th'!G20+'30th'!G20+'31st'!G20)</f>
        <v>0</v>
      </c>
      <c r="H20" s="272">
        <f>SUM('1st'!H20+'2nd'!H20+'3rd'!H20+'4th'!H20+'5th'!H20+'6th'!H20+'7th'!H20+'8th'!H20+'9th'!H20+'10th'!H20+'11th'!H20+'12th'!H20+'13th'!H20+'14th'!H20+'15th'!H20+'16th'!H20+'17th'!H20+'18th'!H20+'19th'!H20+'20th'!H20+'21st'!H20+'22nd'!H20+'23rd'!H20+'24th'!H20+'25th'!H20+'26th'!H20+'27th'!H20+'28th'!H20+'29th'!H20+'30th'!H20+'31st'!H20)</f>
        <v>0</v>
      </c>
      <c r="I20" s="272">
        <f>SUM('1st'!I20+'2nd'!I20+'3rd'!I20+'4th'!I20+'5th'!I20+'6th'!I20+'7th'!I20+'8th'!I20+'9th'!I20+'10th'!I20+'11th'!I20+'12th'!I20+'13th'!I20+'14th'!I20+'15th'!I20+'16th'!I20+'17th'!I20+'18th'!I20+'19th'!I20+'20th'!I20+'21st'!I20+'22nd'!I20+'23rd'!I20+'24th'!I20+'25th'!I20+'26th'!I20+'27th'!I20+'28th'!I20+'29th'!I20+'30th'!I20+'31st'!I20)</f>
        <v>0</v>
      </c>
    </row>
    <row r="21" spans="1:9" ht="25.5" customHeight="1" thickBot="1">
      <c r="A21" s="541" t="s">
        <v>137</v>
      </c>
      <c r="B21" s="272">
        <f>SUM('1st'!B21+'2nd'!B21+'3rd'!B21+'4th'!B21+'5th'!B21+'6th'!B21+'7th'!B21+'8th'!B21+'9th'!B21+'10th'!B21+'11th'!B21+'12th'!B21+'13th'!B21+'14th'!B21+'15th'!B21+'16th'!B21+'17th'!B21+'18th'!B21+'19th'!B21+'20th'!B21+'21st'!B21+'22nd'!B21+'23rd'!B21+'24th'!B21+'25th'!B21+'26th'!B21+'27th'!B21+'28th'!B21+'29th'!B21+'30th'!B21+'31st'!B21)</f>
        <v>0</v>
      </c>
      <c r="C21" s="272">
        <f>SUM('1st'!C21+'2nd'!C21+'3rd'!C21+'4th'!C21+'5th'!C21+'6th'!C21+'7th'!C21+'8th'!C21+'9th'!C21+'10th'!C21+'11th'!C21+'12th'!C21+'13th'!C21+'14th'!C21+'15th'!C21+'16th'!C21+'17th'!C21+'18th'!C21+'19th'!C21+'20th'!C21+'21st'!C21+'22nd'!C21+'23rd'!C21+'24th'!C21+'25th'!C21+'26th'!C21+'27th'!C21+'28th'!C21+'29th'!C21+'30th'!C21+'31st'!C21)</f>
        <v>0</v>
      </c>
      <c r="D21" s="272">
        <f>SUM('1st'!D21+'2nd'!D21+'3rd'!D21+'4th'!D21+'5th'!D21+'6th'!D21+'7th'!D21+'8th'!D21+'9th'!D21+'10th'!D21+'11th'!D21+'12th'!D21+'13th'!D21+'14th'!D21+'15th'!D21+'16th'!D21+'17th'!D21+'18th'!D21+'19th'!D21+'20th'!D21+'21st'!D21+'22nd'!D21+'23rd'!D21+'24th'!D21+'25th'!D21+'26th'!D21+'27th'!D21+'28th'!D21+'29th'!D21+'30th'!D21+'31st'!D21)</f>
        <v>0</v>
      </c>
      <c r="E21" s="272">
        <f>SUM('1st'!E21+'2nd'!E21+'3rd'!E21+'4th'!E21+'5th'!E21+'6th'!E21+'7th'!E21+'8th'!E21+'9th'!E21+'10th'!E21+'11th'!E21+'12th'!E21+'13th'!E21+'14th'!E21+'15th'!E21+'16th'!E21+'17th'!E21+'18th'!E21+'19th'!E21+'20th'!E21+'21st'!E21+'22nd'!E21+'23rd'!E21+'24th'!E21+'25th'!E21+'26th'!E21+'27th'!E21+'28th'!E21+'29th'!E21+'30th'!E21+'31st'!E21)</f>
        <v>0</v>
      </c>
      <c r="F21" s="272">
        <f>SUM('1st'!F21+'2nd'!F21+'3rd'!F21+'4th'!F21+'5th'!F21+'6th'!F21+'7th'!F21+'8th'!F21+'9th'!F21+'10th'!F21+'11th'!F21+'12th'!F21+'13th'!F21+'14th'!F21+'15th'!F21+'16th'!F21+'17th'!F21+'18th'!F21+'19th'!F21+'20th'!F21+'21st'!F21+'22nd'!F21+'23rd'!F21+'24th'!F21+'25th'!F21+'26th'!F21+'27th'!F21+'28th'!F21+'29th'!F21+'30th'!F21+'31st'!F21)</f>
        <v>0</v>
      </c>
      <c r="G21" s="272">
        <f>SUM('1st'!G21+'2nd'!G21+'3rd'!G21+'4th'!G21+'5th'!G21+'6th'!G21+'7th'!G21+'8th'!G21+'9th'!G21+'10th'!G21+'11th'!G21+'12th'!G21+'13th'!G21+'14th'!G21+'15th'!G21+'16th'!G21+'17th'!G21+'18th'!G21+'19th'!G21+'20th'!G21+'21st'!G21+'22nd'!G21+'23rd'!G21+'24th'!G21+'25th'!G21+'26th'!G21+'27th'!G21+'28th'!G21+'29th'!G21+'30th'!G21+'31st'!G21)</f>
        <v>0</v>
      </c>
      <c r="H21" s="272">
        <f>SUM('1st'!H21+'2nd'!H21+'3rd'!H21+'4th'!H21+'5th'!H21+'6th'!H21+'7th'!H21+'8th'!H21+'9th'!H21+'10th'!H21+'11th'!H21+'12th'!H21+'13th'!H21+'14th'!H21+'15th'!H21+'16th'!H21+'17th'!H21+'18th'!H21+'19th'!H21+'20th'!H21+'21st'!H21+'22nd'!H21+'23rd'!H21+'24th'!H21+'25th'!H21+'26th'!H21+'27th'!H21+'28th'!H21+'29th'!H21+'30th'!H21+'31st'!H21)</f>
        <v>0</v>
      </c>
      <c r="I21" s="272">
        <f>SUM('1st'!I21+'2nd'!I21+'3rd'!I21+'4th'!I21+'5th'!I21+'6th'!I21+'7th'!I21+'8th'!I21+'9th'!I21+'10th'!I21+'11th'!I21+'12th'!I21+'13th'!I21+'14th'!I21+'15th'!I21+'16th'!I21+'17th'!I21+'18th'!I21+'19th'!I21+'20th'!I21+'21st'!I21+'22nd'!I21+'23rd'!I21+'24th'!I21+'25th'!I21+'26th'!I21+'27th'!I21+'28th'!I21+'29th'!I21+'30th'!I21+'31st'!I21)</f>
        <v>0</v>
      </c>
    </row>
    <row r="22" spans="1:9" ht="25.5" customHeight="1" thickBot="1">
      <c r="A22" s="542" t="s">
        <v>90</v>
      </c>
      <c r="B22" s="272">
        <f>SUM('1st'!B22+'2nd'!B22+'3rd'!B22+'4th'!B22+'5th'!B22+'6th'!B22+'7th'!B22+'8th'!B22+'9th'!B22+'10th'!B22+'11th'!B22+'12th'!B22+'13th'!B22+'14th'!B22+'15th'!B22+'16th'!B22+'17th'!B22+'18th'!B22+'19th'!B22+'20th'!B22+'21st'!B22+'22nd'!B22+'23rd'!B22+'24th'!B22+'25th'!B22+'26th'!B22+'27th'!B22+'28th'!B22+'29th'!B22+'30th'!B22+'31st'!B22)</f>
        <v>0</v>
      </c>
      <c r="C22" s="272">
        <f>SUM('1st'!C22+'2nd'!C22+'3rd'!C22+'4th'!C22+'5th'!C22+'6th'!C22+'7th'!C22+'8th'!C22+'9th'!C22+'10th'!C22+'11th'!C22+'12th'!C22+'13th'!C22+'14th'!C22+'15th'!C22+'16th'!C22+'17th'!C22+'18th'!C22+'19th'!C22+'20th'!C22+'21st'!C22+'22nd'!C22+'23rd'!C22+'24th'!C22+'25th'!C22+'26th'!C22+'27th'!C22+'28th'!C22+'29th'!C22+'30th'!C22+'31st'!C22)</f>
        <v>0</v>
      </c>
      <c r="D22" s="272">
        <f>SUM('1st'!D22+'2nd'!D22+'3rd'!D22+'4th'!D22+'5th'!D22+'6th'!D22+'7th'!D22+'8th'!D22+'9th'!D22+'10th'!D22+'11th'!D22+'12th'!D22+'13th'!D22+'14th'!D22+'15th'!D22+'16th'!D22+'17th'!D22+'18th'!D22+'19th'!D22+'20th'!D22+'21st'!D22+'22nd'!D22+'23rd'!D22+'24th'!D22+'25th'!D22+'26th'!D22+'27th'!D22+'28th'!D22+'29th'!D22+'30th'!D22+'31st'!D22)</f>
        <v>0</v>
      </c>
      <c r="E22" s="272">
        <f>SUM('1st'!E22+'2nd'!E22+'3rd'!E22+'4th'!E22+'5th'!E22+'6th'!E22+'7th'!E22+'8th'!E22+'9th'!E22+'10th'!E22+'11th'!E22+'12th'!E22+'13th'!E22+'14th'!E22+'15th'!E22+'16th'!E22+'17th'!E22+'18th'!E22+'19th'!E22+'20th'!E22+'21st'!E22+'22nd'!E22+'23rd'!E22+'24th'!E22+'25th'!E22+'26th'!E22+'27th'!E22+'28th'!E22+'29th'!E22+'30th'!E22+'31st'!E22)</f>
        <v>0</v>
      </c>
      <c r="F22" s="272">
        <f>SUM('1st'!F22+'2nd'!F22+'3rd'!F22+'4th'!F22+'5th'!F22+'6th'!F22+'7th'!F22+'8th'!F22+'9th'!F22+'10th'!F22+'11th'!F22+'12th'!F22+'13th'!F22+'14th'!F22+'15th'!F22+'16th'!F22+'17th'!F22+'18th'!F22+'19th'!F22+'20th'!F22+'21st'!F22+'22nd'!F22+'23rd'!F22+'24th'!F22+'25th'!F22+'26th'!F22+'27th'!F22+'28th'!F22+'29th'!F22+'30th'!F22+'31st'!F22)</f>
        <v>0</v>
      </c>
      <c r="G22" s="272">
        <f>SUM('1st'!G22+'2nd'!G22+'3rd'!G22+'4th'!G22+'5th'!G22+'6th'!G22+'7th'!G22+'8th'!G22+'9th'!G22+'10th'!G22+'11th'!G22+'12th'!G22+'13th'!G22+'14th'!G22+'15th'!G22+'16th'!G22+'17th'!G22+'18th'!G22+'19th'!G22+'20th'!G22+'21st'!G22+'22nd'!G22+'23rd'!G22+'24th'!G22+'25th'!G22+'26th'!G22+'27th'!G22+'28th'!G22+'29th'!G22+'30th'!G22+'31st'!G22)</f>
        <v>0</v>
      </c>
      <c r="H22" s="272">
        <f>SUM('1st'!H22+'2nd'!H22+'3rd'!H22+'4th'!H22+'5th'!H22+'6th'!H22+'7th'!H22+'8th'!H22+'9th'!H22+'10th'!H22+'11th'!H22+'12th'!H22+'13th'!H22+'14th'!H22+'15th'!H22+'16th'!H22+'17th'!H22+'18th'!H22+'19th'!H22+'20th'!H22+'21st'!H22+'22nd'!H22+'23rd'!H22+'24th'!H22+'25th'!H22+'26th'!H22+'27th'!H22+'28th'!H22+'29th'!H22+'30th'!H22+'31st'!H22)</f>
        <v>0</v>
      </c>
      <c r="I22" s="272">
        <f>SUM('1st'!I22+'2nd'!I22+'3rd'!I22+'4th'!I22+'5th'!I22+'6th'!I22+'7th'!I22+'8th'!I22+'9th'!I22+'10th'!I22+'11th'!I22+'12th'!I22+'13th'!I22+'14th'!I22+'15th'!I22+'16th'!I22+'17th'!I22+'18th'!I22+'19th'!I22+'20th'!I22+'21st'!I22+'22nd'!I22+'23rd'!I22+'24th'!I22+'25th'!I22+'26th'!I22+'27th'!I22+'28th'!I22+'29th'!I22+'30th'!I22+'31st'!I22)</f>
        <v>0</v>
      </c>
    </row>
    <row r="23" spans="1:9" ht="25.5" customHeight="1" thickBot="1">
      <c r="A23" s="336" t="s">
        <v>0</v>
      </c>
      <c r="B23" s="532">
        <f t="shared" ref="B23" si="1">SUM(B13:B22)</f>
        <v>52086</v>
      </c>
      <c r="C23" s="532">
        <f t="shared" ref="C23" si="2">SUM(C13:C22)</f>
        <v>302863.99</v>
      </c>
      <c r="D23" s="532">
        <f t="shared" ref="D23" si="3">SUM(D13:D22)</f>
        <v>52205.900000000009</v>
      </c>
      <c r="E23" s="532">
        <f t="shared" ref="E23" si="4">SUM(E13:E22)</f>
        <v>302863.91799999995</v>
      </c>
      <c r="F23" s="532">
        <f t="shared" ref="F23" si="5">SUM(F13:F22)</f>
        <v>294.90000000000015</v>
      </c>
      <c r="G23" s="532">
        <f t="shared" ref="G23" si="6">SUM(G13:G22)</f>
        <v>-7.1999999999661668E-2</v>
      </c>
      <c r="H23" s="532">
        <f t="shared" ref="H23" si="7">SUM(H13:H22)</f>
        <v>0</v>
      </c>
      <c r="I23" s="532" t="e">
        <f t="shared" ref="I23" si="8">SUM(I13:I22)</f>
        <v>#VALUE!</v>
      </c>
    </row>
  </sheetData>
  <phoneticPr fontId="4" type="noConversion"/>
  <pageMargins left="0.75" right="0.75" top="1" bottom="1" header="0.5" footer="0.5"/>
  <pageSetup paperSize="9" scale="27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93"/>
  <sheetViews>
    <sheetView zoomScale="75" zoomScaleNormal="75" workbookViewId="0">
      <selection activeCell="A2" sqref="A2:B5"/>
    </sheetView>
  </sheetViews>
  <sheetFormatPr defaultColWidth="9.140625" defaultRowHeight="16.5" customHeight="1"/>
  <cols>
    <col min="1" max="1" width="28.140625" style="28" customWidth="1"/>
    <col min="2" max="2" width="12.7109375" style="28" customWidth="1"/>
    <col min="3" max="3" width="12.7109375" style="67" customWidth="1"/>
    <col min="4" max="5" width="12.7109375" style="28" hidden="1" customWidth="1"/>
    <col min="6" max="6" width="12.7109375" style="68" customWidth="1"/>
    <col min="7" max="7" width="23.7109375" style="69" customWidth="1"/>
    <col min="8" max="8" width="12.7109375" style="97" customWidth="1"/>
    <col min="9" max="9" width="12.7109375" style="69" customWidth="1"/>
    <col min="10" max="28" width="12.7109375" style="28" customWidth="1"/>
    <col min="29" max="16384" width="9.140625" style="28"/>
  </cols>
  <sheetData>
    <row r="1" spans="1:9" s="22" customFormat="1" ht="16.5" customHeight="1" thickBot="1">
      <c r="A1" s="17" t="s">
        <v>34</v>
      </c>
      <c r="B1" s="18"/>
      <c r="C1" s="19"/>
      <c r="D1" s="18"/>
      <c r="E1" s="18"/>
      <c r="F1" s="20"/>
      <c r="G1" s="21"/>
      <c r="H1" s="95"/>
      <c r="I1" s="735"/>
    </row>
    <row r="2" spans="1:9" s="23" customFormat="1" ht="16.5" customHeight="1" thickTop="1" thickBot="1">
      <c r="A2" s="23" t="s">
        <v>35</v>
      </c>
      <c r="B2" s="34" t="s">
        <v>138</v>
      </c>
      <c r="C2" s="557"/>
      <c r="D2" s="121" t="s">
        <v>73</v>
      </c>
      <c r="E2" s="121"/>
      <c r="F2" s="169" t="s">
        <v>139</v>
      </c>
      <c r="G2" s="558"/>
      <c r="H2" s="96"/>
      <c r="I2" s="736"/>
    </row>
    <row r="3" spans="1:9" s="23" customFormat="1" ht="16.5" customHeight="1">
      <c r="A3" s="547" t="s">
        <v>79</v>
      </c>
      <c r="B3" s="583">
        <f>B23*C3</f>
        <v>27798.449802079918</v>
      </c>
      <c r="C3" s="577">
        <v>3.3695090669187779E-2</v>
      </c>
      <c r="D3" s="555"/>
      <c r="E3" s="590"/>
      <c r="F3" s="599">
        <f>SUM('monthtodate glance'!B3+'monthtodate glance'!C3+'monthtodate glance'!F3+'monthtodate glance'!G3+'monthtodate glance'!H3-'monthtodate glance'!I3)</f>
        <v>6742.37</v>
      </c>
      <c r="G3" s="560" t="e">
        <f>F3/F23</f>
        <v>#VALUE!</v>
      </c>
      <c r="H3" s="96"/>
      <c r="I3" s="736"/>
    </row>
    <row r="4" spans="1:9" s="23" customFormat="1" ht="16.5" customHeight="1">
      <c r="A4" s="548" t="s">
        <v>80</v>
      </c>
      <c r="B4" s="584">
        <f>B23*C4</f>
        <v>20389.65758991009</v>
      </c>
      <c r="C4" s="578">
        <v>2.4714736472618293E-2</v>
      </c>
      <c r="D4" s="118"/>
      <c r="E4" s="591"/>
      <c r="F4" s="600">
        <f>SUM('monthtodate glance'!B4+'monthtodate glance'!C4+'monthtodate glance'!F4+'monthtodate glance'!G4+'monthtodate glance'!H4-'monthtodate glance'!I4)</f>
        <v>0</v>
      </c>
      <c r="G4" s="561" t="e">
        <f>F4/F23</f>
        <v>#VALUE!</v>
      </c>
      <c r="H4" s="96"/>
      <c r="I4" s="736"/>
    </row>
    <row r="5" spans="1:9" s="23" customFormat="1" ht="16.5" customHeight="1">
      <c r="A5" s="548" t="s">
        <v>81</v>
      </c>
      <c r="B5" s="584">
        <f>B23*C5</f>
        <v>36586.52841567486</v>
      </c>
      <c r="C5" s="578">
        <v>4.4347307170514987E-2</v>
      </c>
      <c r="D5" s="118"/>
      <c r="E5" s="591"/>
      <c r="F5" s="600">
        <f>SUM('monthtodate glance'!B5+'monthtodate glance'!C5+'monthtodate glance'!F5+'monthtodate glance'!G5+'monthtodate glance'!H5-'monthtodate glance'!I5)</f>
        <v>25047.16</v>
      </c>
      <c r="G5" s="561" t="e">
        <f>F5/F23</f>
        <v>#VALUE!</v>
      </c>
      <c r="H5" s="96"/>
      <c r="I5" s="736"/>
    </row>
    <row r="6" spans="1:9" s="23" customFormat="1" ht="16.5" customHeight="1">
      <c r="A6" s="548" t="s">
        <v>78</v>
      </c>
      <c r="B6" s="584">
        <f>B23*C6</f>
        <v>67665.331015754418</v>
      </c>
      <c r="C6" s="578">
        <v>8.2018583049399296E-2</v>
      </c>
      <c r="D6" s="118"/>
      <c r="E6" s="591"/>
      <c r="F6" s="600">
        <f>SUM('monthtodate glance'!B6+'monthtodate glance'!C6+'monthtodate glance'!F6+'monthtodate glance'!G6+'monthtodate glance'!H6-'monthtodate glance'!I6)</f>
        <v>11622.439999999997</v>
      </c>
      <c r="G6" s="561" t="e">
        <f>F6/F23</f>
        <v>#VALUE!</v>
      </c>
      <c r="H6" s="96"/>
      <c r="I6" s="736"/>
    </row>
    <row r="7" spans="1:9" s="23" customFormat="1" ht="16.5" customHeight="1" thickBot="1">
      <c r="A7" s="549" t="s">
        <v>143</v>
      </c>
      <c r="B7" s="585">
        <f>B23*C7</f>
        <v>74717.774999999994</v>
      </c>
      <c r="C7" s="581">
        <v>9.0566999999999995E-2</v>
      </c>
      <c r="D7" s="556"/>
      <c r="E7" s="592"/>
      <c r="F7" s="601">
        <f>SUM('monthtodate glance'!B7+'monthtodate glance'!C7+'monthtodate glance'!F7+'monthtodate glance'!G7+'monthtodate glance'!H7-'monthtodate glance'!I7)</f>
        <v>10005.970000000001</v>
      </c>
      <c r="G7" s="562" t="e">
        <f>F7/F23</f>
        <v>#VALUE!</v>
      </c>
      <c r="H7" s="96"/>
      <c r="I7" s="736"/>
    </row>
    <row r="8" spans="1:9" s="23" customFormat="1" ht="16.5" customHeight="1">
      <c r="A8" s="550" t="s">
        <v>82</v>
      </c>
      <c r="B8" s="604">
        <f>B23*C8</f>
        <v>55339.044142206993</v>
      </c>
      <c r="C8" s="611">
        <v>6.7077629263281202E-2</v>
      </c>
      <c r="D8" s="607"/>
      <c r="E8" s="590"/>
      <c r="F8" s="599">
        <f>SUM('monthtodate glance'!B8+'monthtodate glance'!C8+'monthtodate glance'!F8+'monthtodate glance'!G8+'monthtodate glance'!H8-'monthtodate glance'!I8)</f>
        <v>51552.36</v>
      </c>
      <c r="G8" s="560" t="e">
        <f>F8/F23</f>
        <v>#VALUE!</v>
      </c>
      <c r="H8" s="96"/>
      <c r="I8" s="736"/>
    </row>
    <row r="9" spans="1:9" s="23" customFormat="1" ht="16.5" customHeight="1">
      <c r="A9" s="551" t="s">
        <v>83</v>
      </c>
      <c r="B9" s="605">
        <f>B23*C9</f>
        <v>85667.725943209574</v>
      </c>
      <c r="C9" s="612">
        <v>0.10383966780995101</v>
      </c>
      <c r="D9" s="608"/>
      <c r="E9" s="591"/>
      <c r="F9" s="600">
        <f>SUM('monthtodate glance'!B9+'monthtodate glance'!C9+'monthtodate glance'!F9+'monthtodate glance'!G9+'monthtodate glance'!H9-'monthtodate glance'!I9)</f>
        <v>21126.77</v>
      </c>
      <c r="G9" s="561" t="e">
        <f>F9/F23</f>
        <v>#VALUE!</v>
      </c>
      <c r="H9" s="96"/>
      <c r="I9" s="736"/>
    </row>
    <row r="10" spans="1:9" s="23" customFormat="1" ht="16.5" customHeight="1">
      <c r="A10" s="551" t="s">
        <v>84</v>
      </c>
      <c r="B10" s="605">
        <f>B23*C10</f>
        <v>31742.057659051574</v>
      </c>
      <c r="C10" s="612">
        <v>3.8475221404910998E-2</v>
      </c>
      <c r="D10" s="608"/>
      <c r="E10" s="591"/>
      <c r="F10" s="600">
        <f>SUM('monthtodate glance'!B10+'monthtodate glance'!C10+'monthtodate glance'!F10+'monthtodate glance'!G10+'monthtodate glance'!H10-'monthtodate glance'!I10)</f>
        <v>0</v>
      </c>
      <c r="G10" s="561" t="e">
        <f>F10/F23</f>
        <v>#VALUE!</v>
      </c>
      <c r="H10" s="96"/>
      <c r="I10" s="736"/>
    </row>
    <row r="11" spans="1:9" s="23" customFormat="1" ht="16.5" customHeight="1">
      <c r="A11" s="551" t="s">
        <v>106</v>
      </c>
      <c r="B11" s="605">
        <f>B23*C11</f>
        <v>37570.107256006711</v>
      </c>
      <c r="C11" s="612">
        <v>4.5539523946674799E-2</v>
      </c>
      <c r="D11" s="608"/>
      <c r="E11" s="591"/>
      <c r="F11" s="600">
        <f>SUM('monthtodate glance'!B11+'monthtodate glance'!C11+'monthtodate glance'!F11+'monthtodate glance'!G11+'monthtodate glance'!H11-'monthtodate glance'!I11)</f>
        <v>20975.010000000002</v>
      </c>
      <c r="G11" s="561" t="e">
        <f>F11/F23</f>
        <v>#VALUE!</v>
      </c>
      <c r="H11" s="96"/>
      <c r="I11" s="736"/>
    </row>
    <row r="12" spans="1:9" s="23" customFormat="1" ht="16.5" customHeight="1">
      <c r="A12" s="551" t="s">
        <v>85</v>
      </c>
      <c r="B12" s="605">
        <f>B23*C12</f>
        <v>19326.863406572284</v>
      </c>
      <c r="C12" s="612">
        <v>2.3426501098875497E-2</v>
      </c>
      <c r="D12" s="608"/>
      <c r="E12" s="591"/>
      <c r="F12" s="600">
        <f>SUM('monthtodate glance'!B12+'monthtodate glance'!C12+'monthtodate glance'!F12+'monthtodate glance'!G12+'monthtodate glance'!H12-'monthtodate glance'!I12)</f>
        <v>0</v>
      </c>
      <c r="G12" s="561" t="e">
        <f>F12/F23</f>
        <v>#VALUE!</v>
      </c>
      <c r="H12" s="96"/>
      <c r="I12" s="736"/>
    </row>
    <row r="13" spans="1:9" s="23" customFormat="1" ht="16.5" customHeight="1">
      <c r="A13" s="551" t="s">
        <v>86</v>
      </c>
      <c r="B13" s="605">
        <f>B23*C13</f>
        <v>7521.4350806030234</v>
      </c>
      <c r="C13" s="612">
        <v>9.1168910067915433E-3</v>
      </c>
      <c r="D13" s="608"/>
      <c r="E13" s="591"/>
      <c r="F13" s="600">
        <f>SUM('monthtodate glance'!B13+'monthtodate glance'!C13+'monthtodate glance'!F13+'monthtodate glance'!G13+'monthtodate glance'!H13-'monthtodate glance'!I13)</f>
        <v>7702.6099999999988</v>
      </c>
      <c r="G13" s="561" t="e">
        <f>F13/F23</f>
        <v>#VALUE!</v>
      </c>
      <c r="H13" s="96"/>
      <c r="I13" s="736"/>
    </row>
    <row r="14" spans="1:9" s="23" customFormat="1" ht="16.5" customHeight="1">
      <c r="A14" s="551" t="s">
        <v>87</v>
      </c>
      <c r="B14" s="605">
        <f>B23*C14</f>
        <v>48908.263074975657</v>
      </c>
      <c r="C14" s="612">
        <v>5.9282743121182618E-2</v>
      </c>
      <c r="D14" s="608"/>
      <c r="E14" s="591"/>
      <c r="F14" s="600" t="e">
        <f>SUM('monthtodate glance'!B14+'monthtodate glance'!C14+'monthtodate glance'!F14+'monthtodate glance'!G14+'monthtodate glance'!H14-'monthtodate glance'!I14)</f>
        <v>#VALUE!</v>
      </c>
      <c r="G14" s="561" t="e">
        <f>F14/F23</f>
        <v>#VALUE!</v>
      </c>
      <c r="H14" s="96"/>
      <c r="I14" s="736"/>
    </row>
    <row r="15" spans="1:9" s="23" customFormat="1" ht="16.5" customHeight="1">
      <c r="A15" s="551" t="s">
        <v>88</v>
      </c>
      <c r="B15" s="605">
        <f>B23*C15</f>
        <v>135257.03491533553</v>
      </c>
      <c r="C15" s="612">
        <v>0.1639479211094976</v>
      </c>
      <c r="D15" s="608"/>
      <c r="E15" s="591"/>
      <c r="F15" s="600">
        <f>SUM('monthtodate glance'!B15+'monthtodate glance'!C15+'monthtodate glance'!F15+'monthtodate glance'!G15+'monthtodate glance'!H15-'monthtodate glance'!I15)</f>
        <v>11354.369999999999</v>
      </c>
      <c r="G15" s="561" t="e">
        <f>F15/F23</f>
        <v>#VALUE!</v>
      </c>
      <c r="H15" s="96"/>
      <c r="I15" s="736"/>
    </row>
    <row r="16" spans="1:9" s="23" customFormat="1" ht="16.5" customHeight="1">
      <c r="A16" s="551" t="s">
        <v>107</v>
      </c>
      <c r="B16" s="605">
        <f>B23*C16</f>
        <v>52022.140177035675</v>
      </c>
      <c r="C16" s="612">
        <v>6.3057139608528087E-2</v>
      </c>
      <c r="D16" s="608"/>
      <c r="E16" s="591"/>
      <c r="F16" s="600">
        <f>SUM('monthtodate glance'!B16+'monthtodate glance'!C16+'monthtodate glance'!F16+'monthtodate glance'!G16+'monthtodate glance'!H16-'monthtodate glance'!I16)</f>
        <v>72643.588999999993</v>
      </c>
      <c r="G16" s="561" t="e">
        <f>F16/F23</f>
        <v>#VALUE!</v>
      </c>
      <c r="H16" s="96"/>
      <c r="I16" s="736"/>
    </row>
    <row r="17" spans="1:9" s="23" customFormat="1" ht="16.5" customHeight="1" thickBot="1">
      <c r="A17" s="552" t="s">
        <v>89</v>
      </c>
      <c r="B17" s="606">
        <f>B23*C17</f>
        <v>33737.932970089918</v>
      </c>
      <c r="C17" s="613">
        <v>4.0894464206169601E-2</v>
      </c>
      <c r="D17" s="609"/>
      <c r="E17" s="592"/>
      <c r="F17" s="601">
        <f>SUM('monthtodate glance'!B17+'monthtodate glance'!C17+'monthtodate glance'!F17+'monthtodate glance'!G17+'monthtodate glance'!H17-'monthtodate glance'!I17)</f>
        <v>10605.279999999999</v>
      </c>
      <c r="G17" s="562" t="e">
        <f>F17/F23</f>
        <v>#VALUE!</v>
      </c>
      <c r="H17" s="96"/>
      <c r="I17" s="736"/>
    </row>
    <row r="18" spans="1:9" s="23" customFormat="1" ht="16.5" customHeight="1" thickBot="1">
      <c r="A18" s="576" t="s">
        <v>151</v>
      </c>
      <c r="B18" s="586">
        <f>SUM(B8:B17)</f>
        <v>507092.60462508694</v>
      </c>
      <c r="C18" s="610"/>
      <c r="D18" s="554"/>
      <c r="E18" s="593"/>
      <c r="F18" s="602" t="e">
        <f>SUM('monthtodate glance'!B18+'monthtodate glance'!C18+'monthtodate glance'!F18+'monthtodate glance'!G18+'monthtodate glance'!H18-'monthtodate glance'!I18)</f>
        <v>#VALUE!</v>
      </c>
      <c r="G18" s="563" t="e">
        <f>F18/F23</f>
        <v>#VALUE!</v>
      </c>
      <c r="H18" s="96"/>
      <c r="I18" s="736"/>
    </row>
    <row r="19" spans="1:9" ht="16.5" customHeight="1" thickBot="1">
      <c r="A19" s="576" t="s">
        <v>155</v>
      </c>
      <c r="B19" s="586">
        <f>B23*C19</f>
        <v>41250</v>
      </c>
      <c r="C19" s="579">
        <v>0.05</v>
      </c>
      <c r="D19" s="554">
        <f>SUM(D23*E19)</f>
        <v>4981.25</v>
      </c>
      <c r="E19" s="594">
        <v>2.5000000000000001E-2</v>
      </c>
      <c r="F19" s="602">
        <f>SUM('monthtodate glance'!B19+'monthtodate glance'!C19+'monthtodate glance'!F19+'monthtodate glance'!G19+'monthtodate glance'!H19-'monthtodate glance'!I19)</f>
        <v>0</v>
      </c>
      <c r="G19" s="567" t="e">
        <f>F19/F23</f>
        <v>#VALUE!</v>
      </c>
    </row>
    <row r="20" spans="1:9" ht="16.5" customHeight="1" thickBot="1">
      <c r="A20" s="566" t="s">
        <v>136</v>
      </c>
      <c r="B20" s="587">
        <f>B23*C20</f>
        <v>16500</v>
      </c>
      <c r="C20" s="580">
        <v>0.02</v>
      </c>
      <c r="D20" s="553">
        <f>SUM(D23*E20)</f>
        <v>154020.25</v>
      </c>
      <c r="E20" s="595">
        <v>0.77300000000000002</v>
      </c>
      <c r="F20" s="602">
        <f>SUM('monthtodate glance'!B20+'monthtodate glance'!C20+'monthtodate glance'!F20+'monthtodate glance'!G20+'monthtodate glance'!H20-'monthtodate glance'!I20)</f>
        <v>0</v>
      </c>
      <c r="G20" s="564" t="e">
        <f>F20/F23</f>
        <v>#VALUE!</v>
      </c>
    </row>
    <row r="21" spans="1:9" ht="16.5" customHeight="1" thickBot="1">
      <c r="A21" s="541" t="s">
        <v>137</v>
      </c>
      <c r="B21" s="588">
        <f>B23*C21</f>
        <v>33000</v>
      </c>
      <c r="C21" s="578">
        <v>0.04</v>
      </c>
      <c r="D21" s="118"/>
      <c r="E21" s="596"/>
      <c r="F21" s="602">
        <f>SUM('monthtodate glance'!B21+'monthtodate glance'!C21+'monthtodate glance'!F21+'monthtodate glance'!G21+'monthtodate glance'!H21-'monthtodate glance'!I21)</f>
        <v>0</v>
      </c>
      <c r="G21" s="565" t="e">
        <f>F21/F23</f>
        <v>#VALUE!</v>
      </c>
    </row>
    <row r="22" spans="1:9" ht="16.5" customHeight="1" thickBot="1">
      <c r="A22" s="568" t="s">
        <v>90</v>
      </c>
      <c r="B22" s="589">
        <f>B23*C22</f>
        <v>0</v>
      </c>
      <c r="C22" s="581">
        <v>0</v>
      </c>
      <c r="D22" s="120"/>
      <c r="E22" s="597"/>
      <c r="F22" s="602">
        <f>SUM('monthtodate glance'!B22+'monthtodate glance'!C22+'monthtodate glance'!F22+'monthtodate glance'!G22+'monthtodate glance'!H22-'monthtodate glance'!I22)</f>
        <v>0</v>
      </c>
      <c r="G22" s="569" t="e">
        <f>F22/F23</f>
        <v>#VALUE!</v>
      </c>
    </row>
    <row r="23" spans="1:9" ht="16.5" customHeight="1" thickBot="1">
      <c r="A23" s="574" t="s">
        <v>36</v>
      </c>
      <c r="B23" s="738">
        <v>825000</v>
      </c>
      <c r="C23" s="582">
        <f>SUM(C3:C22)</f>
        <v>1.0000004199375834</v>
      </c>
      <c r="D23" s="554">
        <f>SUM(B23/4-7000)</f>
        <v>199250</v>
      </c>
      <c r="E23" s="598">
        <f>SUM(E19:E22)</f>
        <v>0.79800000000000004</v>
      </c>
      <c r="F23" s="603" t="e">
        <f>F3+F4+F5+F6+F7+F8+F9+F10+F11+F12+F13+F14+F15+F16+F19+F17+F20+F21+F22</f>
        <v>#VALUE!</v>
      </c>
      <c r="G23" s="575" t="e">
        <f>SUM(G3+G4+G5+G6+G7+G8+G9+G10+G11+G12+G13+G14+G15+G16+G17+G19+G20+G21+G22)</f>
        <v>#VALUE!</v>
      </c>
    </row>
    <row r="24" spans="1:9" ht="16.5" customHeight="1">
      <c r="A24" s="23" t="s">
        <v>123</v>
      </c>
      <c r="B24" s="570">
        <v>31</v>
      </c>
      <c r="C24" s="571"/>
      <c r="D24" s="572"/>
      <c r="E24" s="571"/>
      <c r="F24" s="573"/>
      <c r="G24" s="559"/>
    </row>
    <row r="25" spans="1:9" ht="16.5" customHeight="1">
      <c r="A25" s="92" t="s">
        <v>26</v>
      </c>
      <c r="B25" s="37"/>
      <c r="C25" s="36"/>
      <c r="D25" s="37"/>
      <c r="E25" s="36"/>
      <c r="F25" s="38"/>
      <c r="G25" s="39"/>
    </row>
    <row r="26" spans="1:9" ht="16.5" customHeight="1">
      <c r="A26" s="91" t="s">
        <v>37</v>
      </c>
      <c r="B26" s="42"/>
      <c r="C26" s="41"/>
      <c r="D26" s="42"/>
      <c r="E26" s="41"/>
      <c r="F26" s="43"/>
      <c r="G26" s="44"/>
    </row>
    <row r="27" spans="1:9" ht="16.5" customHeight="1">
      <c r="A27" s="23" t="s">
        <v>38</v>
      </c>
      <c r="B27" s="24">
        <f>B29*C27</f>
        <v>0</v>
      </c>
      <c r="C27" s="25">
        <v>0.55000000000000004</v>
      </c>
      <c r="D27" s="24">
        <f>D29*E27</f>
        <v>7263.3797999999997</v>
      </c>
      <c r="E27" s="25">
        <v>0.61</v>
      </c>
      <c r="F27" s="32">
        <f>SUM('expenses budget'!D18)</f>
        <v>0</v>
      </c>
      <c r="G27" s="45" t="e">
        <f>F27/F29</f>
        <v>#DIV/0!</v>
      </c>
    </row>
    <row r="28" spans="1:9" ht="16.5" customHeight="1">
      <c r="A28" s="23" t="s">
        <v>39</v>
      </c>
      <c r="B28" s="29">
        <f>B29*C28</f>
        <v>0</v>
      </c>
      <c r="C28" s="30">
        <v>0.45</v>
      </c>
      <c r="D28" s="29">
        <f>D29*E28</f>
        <v>4643.8002000000006</v>
      </c>
      <c r="E28" s="30">
        <v>0.39</v>
      </c>
      <c r="F28" s="31">
        <f>SUM('expenses budget'!D20)</f>
        <v>0</v>
      </c>
      <c r="G28" s="27" t="e">
        <f>F28/F29</f>
        <v>#DIV/0!</v>
      </c>
    </row>
    <row r="29" spans="1:9" ht="16.5" customHeight="1">
      <c r="A29" s="23" t="s">
        <v>40</v>
      </c>
      <c r="B29" s="29">
        <f>B49*C30</f>
        <v>0</v>
      </c>
      <c r="C29" s="30">
        <f>SUM(C27:C28)</f>
        <v>1</v>
      </c>
      <c r="D29" s="29">
        <f>D49*E30</f>
        <v>11907.18</v>
      </c>
      <c r="E29" s="30">
        <v>0.16600000000000001</v>
      </c>
      <c r="F29" s="46">
        <f>SUM(F27:F28)</f>
        <v>0</v>
      </c>
      <c r="G29" s="27" t="e">
        <f>F29/F49</f>
        <v>#DIV/0!</v>
      </c>
    </row>
    <row r="30" spans="1:9" ht="16.5" customHeight="1">
      <c r="A30" s="23"/>
      <c r="B30" s="93"/>
      <c r="C30" s="124">
        <v>0</v>
      </c>
      <c r="D30" s="93"/>
      <c r="E30" s="59">
        <v>0.16600000000000001</v>
      </c>
      <c r="F30" s="58"/>
      <c r="G30" s="57"/>
    </row>
    <row r="31" spans="1:9" ht="16.5" customHeight="1">
      <c r="A31" s="91" t="s">
        <v>41</v>
      </c>
      <c r="B31" s="62"/>
      <c r="C31" s="61"/>
      <c r="D31" s="62"/>
      <c r="E31" s="61"/>
      <c r="F31" s="63"/>
      <c r="G31" s="64"/>
    </row>
    <row r="32" spans="1:9" ht="16.5" customHeight="1">
      <c r="A32" s="23" t="s">
        <v>42</v>
      </c>
      <c r="B32" s="24">
        <f>B38*C32</f>
        <v>14701.5</v>
      </c>
      <c r="C32" s="25">
        <v>0.09</v>
      </c>
      <c r="D32" s="24">
        <f>D38*E32</f>
        <v>8409.3382799999999</v>
      </c>
      <c r="E32" s="25">
        <v>0.21199999999999999</v>
      </c>
      <c r="F32" s="26">
        <f>SUM('expenses budget'!D9)</f>
        <v>0</v>
      </c>
      <c r="G32" s="94" t="e">
        <f>F32/F38</f>
        <v>#DIV/0!</v>
      </c>
      <c r="H32" s="98"/>
    </row>
    <row r="33" spans="1:9" ht="16.5" customHeight="1">
      <c r="A33" s="23" t="s">
        <v>2</v>
      </c>
      <c r="B33" s="29">
        <f>B38*C33</f>
        <v>13068</v>
      </c>
      <c r="C33" s="30">
        <v>0.08</v>
      </c>
      <c r="D33" s="29">
        <f>D38*E33</f>
        <v>2816.3349899999998</v>
      </c>
      <c r="E33" s="30">
        <v>7.0999999999999994E-2</v>
      </c>
      <c r="F33" s="31">
        <f>SUM('expenses budget'!D4)</f>
        <v>0</v>
      </c>
      <c r="G33" s="90" t="e">
        <f>F33/F38</f>
        <v>#DIV/0!</v>
      </c>
      <c r="H33" s="98"/>
    </row>
    <row r="34" spans="1:9" ht="16.5" customHeight="1">
      <c r="A34" s="23" t="s">
        <v>3</v>
      </c>
      <c r="B34" s="29">
        <f>B38*C34</f>
        <v>14701.5</v>
      </c>
      <c r="C34" s="30">
        <v>0.09</v>
      </c>
      <c r="D34" s="29">
        <f>D38*E34</f>
        <v>5394.6698400000005</v>
      </c>
      <c r="E34" s="30">
        <v>0.13600000000000001</v>
      </c>
      <c r="F34" s="31">
        <f>SUM('expenses budget'!D5)</f>
        <v>0</v>
      </c>
      <c r="G34" s="90" t="e">
        <f>F34/F38</f>
        <v>#DIV/0!</v>
      </c>
      <c r="H34" s="98"/>
    </row>
    <row r="35" spans="1:9" ht="16.5" customHeight="1">
      <c r="A35" s="23" t="s">
        <v>43</v>
      </c>
      <c r="B35" s="29">
        <f>B38*C35</f>
        <v>34303.5</v>
      </c>
      <c r="C35" s="30">
        <v>0.21</v>
      </c>
      <c r="D35" s="29">
        <f>D38*E35</f>
        <v>6981.3374400000002</v>
      </c>
      <c r="E35" s="30">
        <v>0.17599999999999999</v>
      </c>
      <c r="F35" s="31">
        <f>SUM('expenses budget'!D8)</f>
        <v>0</v>
      </c>
      <c r="G35" s="90" t="e">
        <f>F35/F38</f>
        <v>#DIV/0!</v>
      </c>
      <c r="H35" s="98"/>
    </row>
    <row r="36" spans="1:9" ht="16.5" customHeight="1">
      <c r="A36" s="23" t="s">
        <v>44</v>
      </c>
      <c r="B36" s="29">
        <f>B38*C36</f>
        <v>32670</v>
      </c>
      <c r="C36" s="30">
        <v>0.2</v>
      </c>
      <c r="D36" s="29">
        <f>D38*E36</f>
        <v>4958.3362500000003</v>
      </c>
      <c r="E36" s="30">
        <v>0.125</v>
      </c>
      <c r="F36" s="31">
        <f>SUM('expenses budget'!D7)</f>
        <v>0</v>
      </c>
      <c r="G36" s="90" t="e">
        <f>F36/F38</f>
        <v>#DIV/0!</v>
      </c>
      <c r="H36" s="98"/>
    </row>
    <row r="37" spans="1:9" ht="16.5" customHeight="1">
      <c r="A37" s="23" t="s">
        <v>45</v>
      </c>
      <c r="B37" s="29">
        <f>B38*C37</f>
        <v>53905.5</v>
      </c>
      <c r="C37" s="30">
        <v>0.33</v>
      </c>
      <c r="D37" s="29">
        <f>D38*E37</f>
        <v>11106.673200000001</v>
      </c>
      <c r="E37" s="30">
        <v>0.28000000000000003</v>
      </c>
      <c r="F37" s="31">
        <f>SUM('expenses budget'!D6)</f>
        <v>0</v>
      </c>
      <c r="G37" s="90" t="e">
        <f>F37/F38</f>
        <v>#DIV/0!</v>
      </c>
      <c r="H37" s="98"/>
    </row>
    <row r="38" spans="1:9" ht="16.5" customHeight="1">
      <c r="A38" s="23" t="s">
        <v>46</v>
      </c>
      <c r="B38" s="34">
        <f>B49*C39</f>
        <v>163350</v>
      </c>
      <c r="C38" s="119">
        <f>SUM(C32:C37)</f>
        <v>1</v>
      </c>
      <c r="D38" s="29">
        <f>D49*E39</f>
        <v>39666.69</v>
      </c>
      <c r="E38" s="30">
        <v>0.55300000000000005</v>
      </c>
      <c r="F38" s="46">
        <f>SUM(F32:F37)</f>
        <v>0</v>
      </c>
      <c r="G38" s="90" t="e">
        <f>F38/F49</f>
        <v>#DIV/0!</v>
      </c>
      <c r="H38" s="98"/>
    </row>
    <row r="39" spans="1:9" ht="16.5" customHeight="1">
      <c r="A39" s="91" t="s">
        <v>47</v>
      </c>
      <c r="B39" s="48"/>
      <c r="C39" s="125">
        <v>0.66</v>
      </c>
      <c r="D39" s="48"/>
      <c r="E39" s="47">
        <v>0.55300000000000005</v>
      </c>
      <c r="F39" s="49"/>
      <c r="G39" s="50"/>
      <c r="H39" s="99"/>
      <c r="I39" s="737"/>
    </row>
    <row r="40" spans="1:9" ht="16.5" customHeight="1">
      <c r="A40" s="23" t="s">
        <v>9</v>
      </c>
      <c r="B40" s="24">
        <f>B45*C40</f>
        <v>28249.65</v>
      </c>
      <c r="C40" s="30">
        <v>0.439</v>
      </c>
      <c r="D40" s="29">
        <f>D45*E40</f>
        <v>9770.3433000000005</v>
      </c>
      <c r="E40" s="30">
        <v>0.53</v>
      </c>
      <c r="F40" s="31">
        <f>SUM('expenses budget'!D14)</f>
        <v>0</v>
      </c>
      <c r="G40" s="90" t="e">
        <f>F40/F45</f>
        <v>#DIV/0!</v>
      </c>
      <c r="H40" s="98"/>
    </row>
    <row r="41" spans="1:9" ht="16.5" customHeight="1">
      <c r="A41" s="23" t="s">
        <v>48</v>
      </c>
      <c r="B41" s="29">
        <f>B45*C41</f>
        <v>20012.849999999999</v>
      </c>
      <c r="C41" s="30">
        <v>0.311</v>
      </c>
      <c r="D41" s="29">
        <f>D45*E41</f>
        <v>5493.5137800000002</v>
      </c>
      <c r="E41" s="30">
        <v>0.29799999999999999</v>
      </c>
      <c r="F41" s="31">
        <f>SUM('expenses budget'!D12)</f>
        <v>0</v>
      </c>
      <c r="G41" s="90" t="e">
        <f>F41/F45</f>
        <v>#DIV/0!</v>
      </c>
      <c r="H41" s="98"/>
    </row>
    <row r="42" spans="1:9" ht="16.5" customHeight="1">
      <c r="A42" s="23" t="s">
        <v>75</v>
      </c>
      <c r="B42" s="29">
        <f>B45*C42</f>
        <v>2574</v>
      </c>
      <c r="C42" s="30">
        <v>0.04</v>
      </c>
      <c r="D42" s="29">
        <f>D45*E42</f>
        <v>1124.5112100000001</v>
      </c>
      <c r="E42" s="30">
        <v>6.0999999999999999E-2</v>
      </c>
      <c r="F42" s="31">
        <f>SUM('expenses budget'!D19)</f>
        <v>0</v>
      </c>
      <c r="G42" s="90" t="e">
        <f>F42/F45</f>
        <v>#DIV/0!</v>
      </c>
      <c r="H42" s="98"/>
    </row>
    <row r="43" spans="1:9" ht="16.5" customHeight="1">
      <c r="A43" s="23" t="s">
        <v>49</v>
      </c>
      <c r="B43" s="29">
        <f>B45*C43</f>
        <v>3861</v>
      </c>
      <c r="C43" s="30">
        <v>0.06</v>
      </c>
      <c r="D43" s="29">
        <f>D45*E43</f>
        <v>884.86128000000008</v>
      </c>
      <c r="E43" s="30">
        <v>4.8000000000000001E-2</v>
      </c>
      <c r="F43" s="31">
        <f>SUM('expenses budget'!D15)</f>
        <v>0</v>
      </c>
      <c r="G43" s="90" t="e">
        <f>F43/F45</f>
        <v>#DIV/0!</v>
      </c>
      <c r="H43" s="98"/>
    </row>
    <row r="44" spans="1:9" ht="16.5" customHeight="1">
      <c r="A44" s="23" t="s">
        <v>50</v>
      </c>
      <c r="B44" s="29">
        <f>B45*C44</f>
        <v>9652.5</v>
      </c>
      <c r="C44" s="30">
        <v>0.15</v>
      </c>
      <c r="D44" s="29">
        <f>D45*E44</f>
        <v>1161.3804299999999</v>
      </c>
      <c r="E44" s="30">
        <v>6.3E-2</v>
      </c>
      <c r="F44" s="31">
        <f>SUM('expenses budget'!D13)</f>
        <v>0</v>
      </c>
      <c r="G44" s="90" t="e">
        <f>F44/F45</f>
        <v>#DIV/0!</v>
      </c>
      <c r="H44" s="98"/>
    </row>
    <row r="45" spans="1:9" ht="16.5" customHeight="1">
      <c r="A45" s="23" t="s">
        <v>51</v>
      </c>
      <c r="B45" s="29">
        <f>B49*C46</f>
        <v>64350</v>
      </c>
      <c r="C45" s="30">
        <f>SUM(C40:C44)</f>
        <v>1</v>
      </c>
      <c r="D45" s="29">
        <f>D49*E46</f>
        <v>18434.61</v>
      </c>
      <c r="E45" s="30">
        <f>SUM(E40:E44)</f>
        <v>1</v>
      </c>
      <c r="F45" s="46">
        <f>SUM(F40:F44)</f>
        <v>0</v>
      </c>
      <c r="G45" s="90" t="e">
        <f>F45/F49</f>
        <v>#DIV/0!</v>
      </c>
      <c r="H45" s="98"/>
    </row>
    <row r="46" spans="1:9" ht="16.5" customHeight="1">
      <c r="A46" s="23"/>
      <c r="B46" s="88"/>
      <c r="C46" s="126">
        <v>0.26</v>
      </c>
      <c r="D46" s="51"/>
      <c r="E46" s="30">
        <v>0.25700000000000001</v>
      </c>
      <c r="F46" s="46"/>
      <c r="G46" s="90"/>
      <c r="H46" s="100"/>
    </row>
    <row r="47" spans="1:9" ht="16.5" customHeight="1">
      <c r="A47" s="23" t="s">
        <v>77</v>
      </c>
      <c r="B47" s="88">
        <f>B49*C47</f>
        <v>0</v>
      </c>
      <c r="C47" s="122">
        <v>0</v>
      </c>
      <c r="D47" s="51"/>
      <c r="E47" s="30"/>
      <c r="F47" s="46"/>
      <c r="G47" s="90"/>
      <c r="H47" s="103"/>
    </row>
    <row r="48" spans="1:9" ht="16.5" customHeight="1">
      <c r="A48" s="23" t="s">
        <v>52</v>
      </c>
      <c r="B48" s="29">
        <f>B49*C48</f>
        <v>19800</v>
      </c>
      <c r="C48" s="126">
        <v>0.08</v>
      </c>
      <c r="D48" s="29">
        <f>D49*E48</f>
        <v>1721.52</v>
      </c>
      <c r="E48" s="30">
        <v>2.4E-2</v>
      </c>
      <c r="F48" s="31">
        <f>SUM('expenses budget'!D22)</f>
        <v>0</v>
      </c>
      <c r="G48" s="90" t="e">
        <f>F48/F49</f>
        <v>#DIV/0!</v>
      </c>
      <c r="H48" s="102"/>
    </row>
    <row r="49" spans="1:9" ht="16.5" customHeight="1">
      <c r="A49" s="23" t="s">
        <v>114</v>
      </c>
      <c r="B49" s="29">
        <f>SUM(B23*30/100)</f>
        <v>247500</v>
      </c>
      <c r="C49" s="127">
        <f>SUM(C48+C47+C46+C39+C30)</f>
        <v>1</v>
      </c>
      <c r="D49" s="29">
        <f>D23*E49</f>
        <v>71730</v>
      </c>
      <c r="E49" s="30">
        <v>0.36</v>
      </c>
      <c r="F49" s="46">
        <f>F29+F38+F45+F48-F47</f>
        <v>0</v>
      </c>
      <c r="G49" s="90" t="e">
        <f>SUM(F49/F23)</f>
        <v>#VALUE!</v>
      </c>
      <c r="H49" s="98"/>
      <c r="I49" s="736"/>
    </row>
    <row r="50" spans="1:9" ht="16.5" customHeight="1">
      <c r="A50" s="23" t="s">
        <v>33</v>
      </c>
      <c r="B50" s="29">
        <f>B23-B49</f>
        <v>577500</v>
      </c>
      <c r="C50" s="123">
        <v>0.3</v>
      </c>
      <c r="D50" s="29">
        <f>D23-D49</f>
        <v>127520</v>
      </c>
      <c r="E50" s="30"/>
      <c r="F50" s="46" t="e">
        <f>SUM(F23-F49)</f>
        <v>#VALUE!</v>
      </c>
      <c r="G50" s="130" t="e">
        <f>SUM(F50/F23)</f>
        <v>#VALUE!</v>
      </c>
      <c r="H50" s="101"/>
    </row>
    <row r="51" spans="1:9" ht="16.5" customHeight="1">
      <c r="A51" s="23" t="s">
        <v>53</v>
      </c>
      <c r="B51" s="35"/>
      <c r="C51" s="52"/>
      <c r="D51" s="37"/>
      <c r="E51" s="52"/>
      <c r="F51" s="53"/>
      <c r="G51" s="54"/>
    </row>
    <row r="52" spans="1:9" ht="16.5" customHeight="1">
      <c r="A52" s="23" t="s">
        <v>54</v>
      </c>
      <c r="B52" s="40"/>
      <c r="C52" s="41"/>
      <c r="D52" s="42"/>
      <c r="E52" s="41"/>
      <c r="F52" s="43"/>
      <c r="G52" s="44"/>
    </row>
    <row r="53" spans="1:9" ht="16.5" customHeight="1">
      <c r="A53" s="23" t="s">
        <v>55</v>
      </c>
      <c r="B53" s="29">
        <f>B61*C53</f>
        <v>12375</v>
      </c>
      <c r="C53" s="30">
        <v>0.3</v>
      </c>
      <c r="D53" s="29">
        <f>D61*E53</f>
        <v>0</v>
      </c>
      <c r="E53" s="30">
        <v>0</v>
      </c>
      <c r="F53" s="632">
        <f>SUM(B53)</f>
        <v>12375</v>
      </c>
      <c r="G53" s="27">
        <f>F53/F61</f>
        <v>0.42075736325385693</v>
      </c>
      <c r="H53" s="97" t="s">
        <v>117</v>
      </c>
    </row>
    <row r="54" spans="1:9" ht="16.5" customHeight="1">
      <c r="A54" s="23" t="s">
        <v>19</v>
      </c>
      <c r="B54" s="29">
        <f>B61*C54</f>
        <v>2062.5</v>
      </c>
      <c r="C54" s="30">
        <v>0.05</v>
      </c>
      <c r="D54" s="29">
        <f>D61*E54</f>
        <v>11.565426399999948</v>
      </c>
      <c r="E54" s="30">
        <v>1.0999999999999999E-2</v>
      </c>
      <c r="F54" s="632">
        <f t="shared" ref="F54:F56" si="0">SUM(B54)</f>
        <v>2062.5</v>
      </c>
      <c r="G54" s="27">
        <f>F54/F61</f>
        <v>7.0126227208976155E-2</v>
      </c>
      <c r="H54" s="97" t="s">
        <v>117</v>
      </c>
    </row>
    <row r="55" spans="1:9" ht="16.5" customHeight="1">
      <c r="A55" s="23" t="s">
        <v>56</v>
      </c>
      <c r="B55" s="29">
        <f>B61*C55</f>
        <v>2186.25</v>
      </c>
      <c r="C55" s="30">
        <v>5.2999999999999999E-2</v>
      </c>
      <c r="D55" s="29">
        <f>D61*E55</f>
        <v>71.495363199999687</v>
      </c>
      <c r="E55" s="30">
        <v>6.8000000000000005E-2</v>
      </c>
      <c r="F55" s="632">
        <f t="shared" si="0"/>
        <v>2186.25</v>
      </c>
      <c r="G55" s="27">
        <f>F55/F61</f>
        <v>7.4333800841514724E-2</v>
      </c>
      <c r="H55" s="97" t="s">
        <v>117</v>
      </c>
    </row>
    <row r="56" spans="1:9" ht="16.5" customHeight="1">
      <c r="A56" s="23" t="s">
        <v>57</v>
      </c>
      <c r="B56" s="29">
        <f>B61*C56</f>
        <v>4125</v>
      </c>
      <c r="C56" s="30">
        <v>0.1</v>
      </c>
      <c r="D56" s="29">
        <f>D61*E56</f>
        <v>232.35993039999897</v>
      </c>
      <c r="E56" s="30">
        <v>0.221</v>
      </c>
      <c r="F56" s="632">
        <f t="shared" si="0"/>
        <v>4125</v>
      </c>
      <c r="G56" s="27">
        <f>F56/F61</f>
        <v>0.14025245441795231</v>
      </c>
      <c r="H56" s="97" t="s">
        <v>117</v>
      </c>
    </row>
    <row r="57" spans="1:9" ht="16.5" customHeight="1">
      <c r="A57" s="23" t="s">
        <v>58</v>
      </c>
      <c r="B57" s="29">
        <f>B61*C57</f>
        <v>6187.5</v>
      </c>
      <c r="C57" s="30">
        <v>0.15</v>
      </c>
      <c r="D57" s="29">
        <f>D61*E57</f>
        <v>644.50967119999711</v>
      </c>
      <c r="E57" s="30">
        <v>0.61299999999999999</v>
      </c>
      <c r="F57" s="31">
        <f>SUM('expenses budget'!D31)</f>
        <v>0</v>
      </c>
      <c r="G57" s="27">
        <f>F57/F61</f>
        <v>0</v>
      </c>
    </row>
    <row r="58" spans="1:9" ht="16.5" customHeight="1">
      <c r="A58" s="23" t="s">
        <v>59</v>
      </c>
      <c r="B58" s="29">
        <f>B61*C58</f>
        <v>8250</v>
      </c>
      <c r="C58" s="30">
        <v>0.2</v>
      </c>
      <c r="D58" s="29">
        <f>D61*E58</f>
        <v>0</v>
      </c>
      <c r="E58" s="30">
        <v>0</v>
      </c>
      <c r="F58" s="632">
        <f>SUM(B57)</f>
        <v>6187.5</v>
      </c>
      <c r="G58" s="27">
        <f>F58/F61</f>
        <v>0.21037868162692847</v>
      </c>
      <c r="H58" s="97" t="s">
        <v>117</v>
      </c>
    </row>
    <row r="59" spans="1:9" ht="16.5" customHeight="1">
      <c r="A59" s="23" t="s">
        <v>60</v>
      </c>
      <c r="B59" s="29">
        <f>B61*C59</f>
        <v>3588.7499999999995</v>
      </c>
      <c r="C59" s="30">
        <v>8.6999999999999994E-2</v>
      </c>
      <c r="D59" s="29">
        <f>D61*E59</f>
        <v>91.4720087999996</v>
      </c>
      <c r="E59" s="30">
        <v>8.6999999999999994E-2</v>
      </c>
      <c r="F59" s="31">
        <f>SUM('expenses budget'!D29)</f>
        <v>0</v>
      </c>
      <c r="G59" s="27">
        <f>F59/F61</f>
        <v>0</v>
      </c>
    </row>
    <row r="60" spans="1:9" ht="16.5" customHeight="1">
      <c r="A60" s="23" t="s">
        <v>61</v>
      </c>
      <c r="B60" s="29">
        <f>B61*C60</f>
        <v>2475</v>
      </c>
      <c r="C60" s="30">
        <v>0.06</v>
      </c>
      <c r="D60" s="29">
        <f>D61*E60</f>
        <v>0</v>
      </c>
      <c r="E60" s="30">
        <v>0</v>
      </c>
      <c r="F60" s="632">
        <f>SUM(B60)</f>
        <v>2475</v>
      </c>
      <c r="G60" s="27">
        <f>F60/F61</f>
        <v>8.4151472650771386E-2</v>
      </c>
      <c r="H60" s="97" t="s">
        <v>117</v>
      </c>
    </row>
    <row r="61" spans="1:9" ht="16.5" customHeight="1">
      <c r="A61" s="23" t="s">
        <v>20</v>
      </c>
      <c r="B61" s="29">
        <f>B80*C61</f>
        <v>41250</v>
      </c>
      <c r="C61" s="128">
        <v>0.1</v>
      </c>
      <c r="D61" s="29">
        <f>SUM(D80-D79-D73)</f>
        <v>1051.4023999999954</v>
      </c>
      <c r="E61" s="30">
        <v>7.0000000000000001E-3</v>
      </c>
      <c r="F61" s="46">
        <f>SUM(F53:F60)</f>
        <v>29411.25</v>
      </c>
      <c r="G61" s="27"/>
    </row>
    <row r="62" spans="1:9" ht="16.5" customHeight="1">
      <c r="A62" s="23" t="s">
        <v>62</v>
      </c>
      <c r="B62" s="55"/>
      <c r="C62" s="61">
        <f>SUM(C53:C60)</f>
        <v>1</v>
      </c>
      <c r="D62" s="56"/>
      <c r="E62" s="47">
        <v>7.0000000000000001E-3</v>
      </c>
      <c r="F62" s="49"/>
      <c r="G62" s="50"/>
    </row>
    <row r="63" spans="1:9" ht="16.5" customHeight="1">
      <c r="A63" s="23" t="s">
        <v>63</v>
      </c>
      <c r="B63" s="29">
        <f>B73*C63</f>
        <v>3712.5</v>
      </c>
      <c r="C63" s="30">
        <v>0.03</v>
      </c>
      <c r="D63" s="29">
        <f>D73*E63</f>
        <v>192.08337599999996</v>
      </c>
      <c r="E63" s="30">
        <v>0.01</v>
      </c>
      <c r="F63" s="31">
        <f>SUM('expenses budget'!D28)</f>
        <v>0</v>
      </c>
      <c r="G63" s="27">
        <f>F63/F73</f>
        <v>0</v>
      </c>
    </row>
    <row r="64" spans="1:9" ht="16.5" customHeight="1">
      <c r="A64" s="23" t="s">
        <v>64</v>
      </c>
      <c r="B64" s="29">
        <f>B73*C64</f>
        <v>1237.5</v>
      </c>
      <c r="C64" s="30">
        <v>0.01</v>
      </c>
      <c r="D64" s="29" t="e">
        <f>SUM(D73-D68-#REF!-D67-D66-D69-D70-D71-D72-D63-D65)</f>
        <v>#REF!</v>
      </c>
      <c r="E64" s="30" t="e">
        <f>D64/D73</f>
        <v>#REF!</v>
      </c>
      <c r="F64" s="633">
        <f>SUM(B64)</f>
        <v>1237.5</v>
      </c>
      <c r="G64" s="27">
        <f>F64/F73</f>
        <v>1.1406844106463879E-2</v>
      </c>
    </row>
    <row r="65" spans="1:10" ht="16.5" customHeight="1">
      <c r="A65" s="23" t="s">
        <v>124</v>
      </c>
      <c r="B65" s="29">
        <f>B73*C65</f>
        <v>12375</v>
      </c>
      <c r="C65" s="30">
        <v>0.1</v>
      </c>
      <c r="D65" s="29">
        <v>0</v>
      </c>
      <c r="E65" s="30">
        <f>D65/D73</f>
        <v>0</v>
      </c>
      <c r="F65" s="633">
        <f t="shared" ref="F65:F66" si="1">SUM(B65)</f>
        <v>12375</v>
      </c>
      <c r="G65" s="27">
        <f>F65/F73</f>
        <v>0.11406844106463879</v>
      </c>
      <c r="H65" s="97" t="s">
        <v>117</v>
      </c>
    </row>
    <row r="66" spans="1:10" ht="16.5" customHeight="1">
      <c r="A66" s="23" t="s">
        <v>65</v>
      </c>
      <c r="B66" s="29">
        <f>B73*C66</f>
        <v>1237.5</v>
      </c>
      <c r="C66" s="30">
        <v>0.01</v>
      </c>
      <c r="D66" s="29">
        <v>150</v>
      </c>
      <c r="E66" s="30">
        <v>0</v>
      </c>
      <c r="F66" s="633">
        <f t="shared" si="1"/>
        <v>1237.5</v>
      </c>
      <c r="G66" s="27">
        <f>F66/F73</f>
        <v>1.1406844106463879E-2</v>
      </c>
    </row>
    <row r="67" spans="1:10" ht="16.5" customHeight="1">
      <c r="A67" s="23" t="s">
        <v>15</v>
      </c>
      <c r="B67" s="29">
        <f>B73-B72-B71-B70-B69-B68-B66-B65-B64-B63</f>
        <v>5362.5</v>
      </c>
      <c r="C67" s="30">
        <f>B67/B73</f>
        <v>4.3333333333333335E-2</v>
      </c>
      <c r="D67" s="29">
        <f>D73*E67</f>
        <v>192.08337599999996</v>
      </c>
      <c r="E67" s="30">
        <v>0.01</v>
      </c>
      <c r="F67" s="87">
        <f>SUM('expenses budget'!D26)</f>
        <v>0</v>
      </c>
      <c r="G67" s="27">
        <f>F67/F73</f>
        <v>0</v>
      </c>
    </row>
    <row r="68" spans="1:10" ht="16.5" customHeight="1">
      <c r="A68" s="23" t="s">
        <v>76</v>
      </c>
      <c r="B68" s="46">
        <f>SUM(B23*10/100)</f>
        <v>82500</v>
      </c>
      <c r="C68" s="30">
        <v>0.1</v>
      </c>
      <c r="D68" s="46" t="e">
        <f>SUM(D20+#REF!)*10/100</f>
        <v>#REF!</v>
      </c>
      <c r="E68" s="30">
        <v>0.1</v>
      </c>
      <c r="F68" s="87">
        <f>SUM(B68)</f>
        <v>82500</v>
      </c>
      <c r="G68" s="27">
        <f>F68/F73</f>
        <v>0.76045627376425851</v>
      </c>
    </row>
    <row r="69" spans="1:10" ht="16.5" customHeight="1">
      <c r="A69" s="23" t="s">
        <v>21</v>
      </c>
      <c r="B69" s="29">
        <f>B73*C69</f>
        <v>2475</v>
      </c>
      <c r="C69" s="30">
        <v>0.02</v>
      </c>
      <c r="D69" s="29">
        <f>D73*E69</f>
        <v>96.041687999999979</v>
      </c>
      <c r="E69" s="30">
        <v>5.0000000000000001E-3</v>
      </c>
      <c r="F69" s="129"/>
      <c r="G69" s="27">
        <f>F69/F73</f>
        <v>0</v>
      </c>
      <c r="H69" s="97" t="s">
        <v>117</v>
      </c>
    </row>
    <row r="70" spans="1:10" ht="16.5" customHeight="1">
      <c r="A70" s="28" t="s">
        <v>122</v>
      </c>
      <c r="B70" s="29">
        <f>B73*C70</f>
        <v>3712.5</v>
      </c>
      <c r="C70" s="30">
        <v>0.03</v>
      </c>
      <c r="D70" s="29">
        <f>D73*E70</f>
        <v>384.16675199999992</v>
      </c>
      <c r="E70" s="30">
        <v>0.02</v>
      </c>
      <c r="F70" s="87">
        <f>SUM('expenses budget'!D25)</f>
        <v>0</v>
      </c>
      <c r="G70" s="27">
        <f>F70/F73</f>
        <v>0</v>
      </c>
    </row>
    <row r="71" spans="1:10" ht="16.5" customHeight="1">
      <c r="A71" s="23" t="s">
        <v>66</v>
      </c>
      <c r="B71" s="29">
        <f>B73*C71</f>
        <v>1237.5</v>
      </c>
      <c r="C71" s="30">
        <v>0.01</v>
      </c>
      <c r="D71" s="29">
        <f>D73*E71</f>
        <v>19.208337599999997</v>
      </c>
      <c r="E71" s="30">
        <v>1E-3</v>
      </c>
      <c r="F71" s="633">
        <f>SUM(B71)</f>
        <v>1237.5</v>
      </c>
      <c r="G71" s="27">
        <f>F71/F73</f>
        <v>1.1406844106463879E-2</v>
      </c>
    </row>
    <row r="72" spans="1:10" ht="16.5" customHeight="1">
      <c r="A72" s="23" t="s">
        <v>67</v>
      </c>
      <c r="B72" s="29">
        <f>B73*C72</f>
        <v>9900</v>
      </c>
      <c r="C72" s="30">
        <v>0.08</v>
      </c>
      <c r="D72" s="29">
        <f>D73*E72</f>
        <v>96.041687999999979</v>
      </c>
      <c r="E72" s="30">
        <v>5.0000000000000001E-3</v>
      </c>
      <c r="F72" s="633">
        <f>SUM(B72)</f>
        <v>9900</v>
      </c>
      <c r="G72" s="27">
        <f>F72/F73</f>
        <v>9.125475285171103E-2</v>
      </c>
    </row>
    <row r="73" spans="1:10" ht="16.5" customHeight="1">
      <c r="A73" s="23" t="s">
        <v>68</v>
      </c>
      <c r="B73" s="34">
        <f>B80-B79-B61</f>
        <v>123750</v>
      </c>
      <c r="C73" s="134">
        <v>0.3</v>
      </c>
      <c r="D73" s="34">
        <f>SUM(D80*E73)</f>
        <v>19208.337599999995</v>
      </c>
      <c r="E73" s="57">
        <v>0.24</v>
      </c>
      <c r="F73" s="58">
        <f>SUM(F63:F72)</f>
        <v>108487.5</v>
      </c>
      <c r="G73" s="57"/>
    </row>
    <row r="74" spans="1:10" ht="16.5" customHeight="1">
      <c r="A74" s="23" t="s">
        <v>69</v>
      </c>
      <c r="B74" s="55"/>
      <c r="C74" s="47"/>
      <c r="D74" s="56"/>
      <c r="E74" s="47"/>
      <c r="F74" s="49"/>
      <c r="G74" s="50"/>
      <c r="J74" s="104"/>
    </row>
    <row r="75" spans="1:10" ht="16.5" customHeight="1">
      <c r="A75" s="89" t="s">
        <v>22</v>
      </c>
      <c r="B75" s="24">
        <f>B79*C75</f>
        <v>211488.75</v>
      </c>
      <c r="C75" s="25">
        <v>0.85450000000000004</v>
      </c>
      <c r="D75" s="24">
        <f>D79*E75</f>
        <v>51077.737500000003</v>
      </c>
      <c r="E75" s="25">
        <v>0.85450000000000004</v>
      </c>
      <c r="F75" s="132"/>
      <c r="G75" s="45" t="e">
        <f>F75/F79</f>
        <v>#DIV/0!</v>
      </c>
      <c r="H75" s="667"/>
    </row>
    <row r="76" spans="1:10" ht="16.5" customHeight="1">
      <c r="A76" s="23" t="s">
        <v>23</v>
      </c>
      <c r="B76" s="29">
        <f>B75*C76</f>
        <v>19033.987499999999</v>
      </c>
      <c r="C76" s="30">
        <v>0.09</v>
      </c>
      <c r="D76" s="29">
        <f>D75*E76</f>
        <v>4596.9963749999997</v>
      </c>
      <c r="E76" s="30">
        <v>0.09</v>
      </c>
      <c r="F76" s="31">
        <f>F75*9/100</f>
        <v>0</v>
      </c>
      <c r="G76" s="27"/>
    </row>
    <row r="77" spans="1:10" ht="16.5" customHeight="1">
      <c r="A77" s="23" t="s">
        <v>70</v>
      </c>
      <c r="B77" s="29">
        <f>B75*C77</f>
        <v>10574.4375</v>
      </c>
      <c r="C77" s="30">
        <v>0.05</v>
      </c>
      <c r="D77" s="29">
        <f>D75*E77</f>
        <v>2553.8868750000001</v>
      </c>
      <c r="E77" s="30">
        <v>0.05</v>
      </c>
      <c r="F77" s="31">
        <f>F75*5/100</f>
        <v>0</v>
      </c>
      <c r="G77" s="27"/>
    </row>
    <row r="78" spans="1:10" ht="16.5" customHeight="1">
      <c r="A78" s="23" t="s">
        <v>71</v>
      </c>
      <c r="B78" s="29">
        <f>B75*C78</f>
        <v>6344.6624999999995</v>
      </c>
      <c r="C78" s="30">
        <v>0.03</v>
      </c>
      <c r="D78" s="29">
        <f>D75*E78</f>
        <v>1532.3321250000001</v>
      </c>
      <c r="E78" s="30">
        <v>0.03</v>
      </c>
      <c r="F78" s="31">
        <f>F75*3/100</f>
        <v>0</v>
      </c>
      <c r="G78" s="27"/>
    </row>
    <row r="79" spans="1:10" ht="16.5" customHeight="1">
      <c r="A79" s="28" t="s">
        <v>125</v>
      </c>
      <c r="B79" s="29">
        <f>B23*30/100</f>
        <v>247500</v>
      </c>
      <c r="C79" s="123">
        <f>B79/B80</f>
        <v>0.6</v>
      </c>
      <c r="D79" s="29">
        <f>D23*30/100</f>
        <v>59775</v>
      </c>
      <c r="E79" s="30">
        <v>0.3</v>
      </c>
      <c r="F79" s="140">
        <f>SUM(F75:F78)</f>
        <v>0</v>
      </c>
      <c r="G79" s="139" t="e">
        <f>SUM(F79/F23)</f>
        <v>#VALUE!</v>
      </c>
    </row>
    <row r="80" spans="1:10" ht="16.5" customHeight="1">
      <c r="A80" s="23" t="s">
        <v>1</v>
      </c>
      <c r="B80" s="34">
        <f>SUM(B23*C81)</f>
        <v>412500</v>
      </c>
      <c r="C80" s="59">
        <f>C79+C73+C61</f>
        <v>0.99999999999999989</v>
      </c>
      <c r="D80" s="34">
        <f>SUM(D23*E80)</f>
        <v>80034.739999999991</v>
      </c>
      <c r="E80" s="59">
        <v>0.40167999999999998</v>
      </c>
      <c r="F80" s="58">
        <f>F79+F73+F61</f>
        <v>137898.75</v>
      </c>
      <c r="G80" s="57"/>
    </row>
    <row r="81" spans="1:7" ht="16.5" customHeight="1">
      <c r="A81" s="23"/>
      <c r="B81" s="60"/>
      <c r="C81" s="133">
        <v>0.5</v>
      </c>
      <c r="D81" s="62"/>
      <c r="E81" s="61"/>
      <c r="F81" s="63"/>
      <c r="G81" s="64"/>
    </row>
    <row r="82" spans="1:7" ht="16.5" customHeight="1">
      <c r="A82" s="135" t="s">
        <v>72</v>
      </c>
      <c r="B82" s="136">
        <f>SUM(B23-B49-B80)</f>
        <v>165000</v>
      </c>
      <c r="C82" s="65"/>
      <c r="D82" s="24">
        <f>SUM(D23-D49-D80)</f>
        <v>47485.260000000009</v>
      </c>
      <c r="E82" s="65"/>
      <c r="F82" s="138" t="e">
        <f>F23-F49-F80</f>
        <v>#VALUE!</v>
      </c>
      <c r="G82" s="45"/>
    </row>
    <row r="83" spans="1:7" ht="16.5" customHeight="1">
      <c r="A83" s="23"/>
      <c r="B83" s="137">
        <f>SUM(B82/B23)</f>
        <v>0.2</v>
      </c>
      <c r="C83" s="30"/>
      <c r="D83" s="51">
        <f>SUM(D82/D23)</f>
        <v>0.23832000000000006</v>
      </c>
      <c r="E83" s="30"/>
      <c r="F83" s="139" t="e">
        <f>SUM(F82/F23)</f>
        <v>#VALUE!</v>
      </c>
      <c r="G83" s="27"/>
    </row>
    <row r="84" spans="1:7" ht="16.5" customHeight="1">
      <c r="A84" s="23"/>
      <c r="B84" s="66"/>
    </row>
    <row r="87" spans="1:7" ht="16.5" customHeight="1">
      <c r="A87"/>
      <c r="B87"/>
    </row>
    <row r="88" spans="1:7" ht="16.5" customHeight="1">
      <c r="A88"/>
      <c r="B88"/>
    </row>
    <row r="89" spans="1:7" ht="16.5" customHeight="1">
      <c r="A89"/>
      <c r="B89"/>
    </row>
    <row r="90" spans="1:7" ht="16.5" customHeight="1">
      <c r="A90"/>
      <c r="B90"/>
    </row>
    <row r="91" spans="1:7" ht="16.5" customHeight="1">
      <c r="A91"/>
      <c r="B91" s="33"/>
    </row>
    <row r="92" spans="1:7" ht="16.5" customHeight="1">
      <c r="A92"/>
      <c r="B92" s="33"/>
    </row>
    <row r="93" spans="1:7" ht="16.5" customHeight="1">
      <c r="A93"/>
      <c r="B93" s="33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36"/>
  <sheetViews>
    <sheetView zoomScale="60" zoomScaleNormal="60" workbookViewId="0">
      <selection activeCell="A3" sqref="A3"/>
    </sheetView>
  </sheetViews>
  <sheetFormatPr defaultColWidth="12.85546875" defaultRowHeight="12.75"/>
  <cols>
    <col min="1" max="1" width="35" customWidth="1"/>
    <col min="2" max="2" width="20" customWidth="1"/>
  </cols>
  <sheetData>
    <row r="1" spans="1:33" s="112" customFormat="1" ht="49.5" customHeight="1" thickBot="1">
      <c r="A1" s="113" t="s">
        <v>109</v>
      </c>
      <c r="B1" s="615" t="s">
        <v>176</v>
      </c>
      <c r="C1" s="623">
        <f>SUM('1st'!A2)</f>
        <v>45870</v>
      </c>
      <c r="D1" s="624">
        <f t="shared" ref="D1:AG1" si="0">SUM(C1+1)</f>
        <v>45871</v>
      </c>
      <c r="E1" s="624">
        <f t="shared" si="0"/>
        <v>45872</v>
      </c>
      <c r="F1" s="624">
        <f t="shared" si="0"/>
        <v>45873</v>
      </c>
      <c r="G1" s="624">
        <f t="shared" si="0"/>
        <v>45874</v>
      </c>
      <c r="H1" s="624">
        <f t="shared" si="0"/>
        <v>45875</v>
      </c>
      <c r="I1" s="624">
        <f t="shared" si="0"/>
        <v>45876</v>
      </c>
      <c r="J1" s="624">
        <f t="shared" si="0"/>
        <v>45877</v>
      </c>
      <c r="K1" s="624">
        <f t="shared" si="0"/>
        <v>45878</v>
      </c>
      <c r="L1" s="624">
        <f t="shared" si="0"/>
        <v>45879</v>
      </c>
      <c r="M1" s="624">
        <f t="shared" si="0"/>
        <v>45880</v>
      </c>
      <c r="N1" s="624">
        <f t="shared" si="0"/>
        <v>45881</v>
      </c>
      <c r="O1" s="624">
        <f t="shared" si="0"/>
        <v>45882</v>
      </c>
      <c r="P1" s="624">
        <f t="shared" si="0"/>
        <v>45883</v>
      </c>
      <c r="Q1" s="624">
        <f t="shared" si="0"/>
        <v>45884</v>
      </c>
      <c r="R1" s="624">
        <f t="shared" si="0"/>
        <v>45885</v>
      </c>
      <c r="S1" s="624">
        <f t="shared" si="0"/>
        <v>45886</v>
      </c>
      <c r="T1" s="624">
        <f t="shared" si="0"/>
        <v>45887</v>
      </c>
      <c r="U1" s="624">
        <f t="shared" si="0"/>
        <v>45888</v>
      </c>
      <c r="V1" s="624">
        <f t="shared" si="0"/>
        <v>45889</v>
      </c>
      <c r="W1" s="624">
        <f t="shared" si="0"/>
        <v>45890</v>
      </c>
      <c r="X1" s="624">
        <f t="shared" si="0"/>
        <v>45891</v>
      </c>
      <c r="Y1" s="624">
        <f t="shared" si="0"/>
        <v>45892</v>
      </c>
      <c r="Z1" s="624">
        <f t="shared" si="0"/>
        <v>45893</v>
      </c>
      <c r="AA1" s="624">
        <f t="shared" si="0"/>
        <v>45894</v>
      </c>
      <c r="AB1" s="624">
        <f t="shared" si="0"/>
        <v>45895</v>
      </c>
      <c r="AC1" s="624">
        <f t="shared" si="0"/>
        <v>45896</v>
      </c>
      <c r="AD1" s="624">
        <f t="shared" si="0"/>
        <v>45897</v>
      </c>
      <c r="AE1" s="624">
        <f t="shared" si="0"/>
        <v>45898</v>
      </c>
      <c r="AF1" s="624">
        <f t="shared" si="0"/>
        <v>45899</v>
      </c>
      <c r="AG1" s="624">
        <f t="shared" si="0"/>
        <v>45900</v>
      </c>
    </row>
    <row r="2" spans="1:33" ht="26.25" customHeight="1">
      <c r="A2" s="543" t="s">
        <v>79</v>
      </c>
      <c r="B2" s="649">
        <f t="shared" ref="B2:B21" si="1">SUM(C2:AG2)</f>
        <v>6742.37</v>
      </c>
      <c r="C2" s="625">
        <f>SUM('1st'!B3+'1st'!C3+'1st'!F3+'1st'!G3+'1st'!H3-'1st'!I3)</f>
        <v>590.02999999999986</v>
      </c>
      <c r="D2" s="626">
        <f>SUM('2nd'!B3+'2nd'!C3+'2nd'!F3+'2nd'!G3+'2nd'!H3-'2nd'!I3)</f>
        <v>0</v>
      </c>
      <c r="E2" s="626">
        <f>SUM('3rd'!B3+'3rd'!C3+'3rd'!F3+'3rd'!G3+'3rd'!H3-'3rd'!I3)</f>
        <v>0</v>
      </c>
      <c r="F2" s="626">
        <f>SUM('4th'!B3+'4th'!C3+'4th'!F3+'4th'!G3+'4th'!H3-'4th'!I3)</f>
        <v>583.74</v>
      </c>
      <c r="G2" s="626">
        <f>SUM('5th'!B3+'5th'!C3+'5th'!F3+'5th'!G3+'5th'!H3-'5th'!I3)</f>
        <v>533.39</v>
      </c>
      <c r="H2" s="626">
        <f>SUM('6th'!B3+'6th'!C3+'6th'!F3+'6th'!G3+'6th'!H3-'6th'!I3)</f>
        <v>774.12</v>
      </c>
      <c r="I2" s="626">
        <f>SUM('7th'!B3+'7th'!C3+'7th'!F3+'7th'!G3+'7th'!H3-'7th'!I3)</f>
        <v>710.56000000000006</v>
      </c>
      <c r="J2" s="626">
        <f>SUM('8th'!B3+'8th'!C3+'8th'!F3+'8th'!G3+'8th'!H3-'8th'!I3)</f>
        <v>500.46000000000004</v>
      </c>
      <c r="K2" s="626">
        <f>SUM('9th'!B3+'9th'!C3+'9th'!F3+'9th'!G3+'9th'!H3-'9th'!I3)</f>
        <v>0</v>
      </c>
      <c r="L2" s="626">
        <f>SUM('10th'!B3+'10th'!C3+'10th'!F3+'10th'!G3+'10th'!H3-'10th'!I3)</f>
        <v>0</v>
      </c>
      <c r="M2" s="626">
        <f>SUM('11th'!B3+'11th'!C3+'11th'!F3+'11th'!G3+'11th'!H3-'11th'!I3)</f>
        <v>634.68999999999994</v>
      </c>
      <c r="N2" s="626">
        <f>SUM('12th'!B3+'12th'!C3+'12th'!F3+'12th'!G3+'12th'!H3-'12th'!I3)</f>
        <v>830.34</v>
      </c>
      <c r="O2" s="626">
        <f>SUM('13th'!B3+'13th'!C3+'13th'!F3+'13th'!G3+'13th'!H3-'13th'!I3)</f>
        <v>805.9</v>
      </c>
      <c r="P2" s="626">
        <f>SUM('14th'!B3+'14th'!C3+'14th'!F3+'14th'!G3+'14th'!H3-'14th'!I3)</f>
        <v>779.14</v>
      </c>
      <c r="Q2" s="626">
        <f>SUM('15th'!B3+'15th'!C3+'15th'!F3+'15th'!G3+'15th'!H3-'15th'!I3)</f>
        <v>0</v>
      </c>
      <c r="R2" s="626">
        <f>SUM('16th'!B3+'16th'!C3+'16th'!F3+'16th'!G3+'16th'!H3-'16th'!I3)</f>
        <v>0</v>
      </c>
      <c r="S2" s="626">
        <f>SUM('17th'!B3+'17th'!C3+'17th'!F3+'17th'!G3+'17th'!H3-'17th'!I3)</f>
        <v>0</v>
      </c>
      <c r="T2" s="626">
        <f>SUM('18th'!B3+'18th'!C3+'18th'!F3+'18th'!G3+'18th'!H3-'18th'!I3)</f>
        <v>0</v>
      </c>
      <c r="U2" s="626">
        <f>SUM('19th'!B3+'19th'!C3+'19th'!F3+'19th'!G3+'19th'!H3-'19th'!I3)</f>
        <v>0</v>
      </c>
      <c r="V2" s="626">
        <f>SUM('20th'!B3+'20th'!C3+'20th'!F3+'20th'!G3+'20th'!H3-'20th'!I3)</f>
        <v>0</v>
      </c>
      <c r="W2" s="626">
        <f>SUM('21st'!B3+'21st'!C3+'21st'!F3+'21st'!G3+'21st'!H3-'21st'!I3)</f>
        <v>0</v>
      </c>
      <c r="X2" s="626">
        <f>SUM('22nd'!B3+'22nd'!C3+'22nd'!F3+'22nd'!G3+'22nd'!H3-'22nd'!I3)</f>
        <v>0</v>
      </c>
      <c r="Y2" s="626">
        <f>SUM('23rd'!B3+'23rd'!C3+'23rd'!F3+'23rd'!G3+'23rd'!H3-'23rd'!I3)</f>
        <v>0</v>
      </c>
      <c r="Z2" s="626">
        <f>SUM('24th'!B3+'24th'!C3+'24th'!F3+'24th'!G3+'24th'!H3-'24th'!I3)</f>
        <v>0</v>
      </c>
      <c r="AA2" s="626">
        <f>SUM('25th'!B3+'25th'!C3+'25th'!F3+'25th'!G3+'25th'!H3-'25th'!I3)</f>
        <v>0</v>
      </c>
      <c r="AB2" s="626">
        <f>SUM('26th'!B3+'26th'!C3+'26th'!F3+'26th'!G3+'26th'!H3-'26th'!I3)</f>
        <v>0</v>
      </c>
      <c r="AC2" s="626">
        <f>SUM('27th'!B3+'27th'!C3+'27th'!F3+'27th'!G3+'27th'!H3-'27th'!I3)</f>
        <v>0</v>
      </c>
      <c r="AD2" s="626">
        <f>SUM('28th'!B3+'28th'!C3+'28th'!F3+'28th'!G3+'28th'!H3-'28th'!I3)</f>
        <v>0</v>
      </c>
      <c r="AE2" s="626">
        <f>SUM('29th'!B3+'29th'!C3+'29th'!F3+'29th'!G3+'29th'!H3-'29th'!I3)</f>
        <v>0</v>
      </c>
      <c r="AF2" s="626">
        <f>SUM('30th'!B3+'30th'!C3+'30th'!F3+'30th'!G3+'30th'!H3-'30th'!I3)</f>
        <v>0</v>
      </c>
      <c r="AG2" s="627">
        <f>SUM('31st'!B3+'31st'!C3+'31st'!F3+'31st'!G3+'31st'!H3-'31st'!I3)</f>
        <v>0</v>
      </c>
    </row>
    <row r="3" spans="1:33" s="154" customFormat="1" ht="26.25" customHeight="1">
      <c r="A3" s="544" t="s">
        <v>80</v>
      </c>
      <c r="B3" s="650">
        <f t="shared" si="1"/>
        <v>0</v>
      </c>
      <c r="C3" s="614">
        <f>SUM('1st'!B4+'1st'!C4+'1st'!F4+'1st'!G4+'1st'!H4-'1st'!I4)</f>
        <v>0</v>
      </c>
      <c r="D3" s="141">
        <f>SUM('2nd'!B4+'2nd'!C4+'2nd'!F4+'2nd'!G4+'2nd'!H4-'2nd'!I4)</f>
        <v>0</v>
      </c>
      <c r="E3" s="141">
        <f>SUM('3rd'!B4+'3rd'!C4+'3rd'!F4+'3rd'!G4+'3rd'!H4-'3rd'!I4)</f>
        <v>0</v>
      </c>
      <c r="F3" s="141">
        <f>SUM('4th'!B4+'4th'!C4+'4th'!F4+'4th'!G4+'4th'!H4-'4th'!I4)</f>
        <v>0</v>
      </c>
      <c r="G3" s="141">
        <f>SUM('5th'!B4+'5th'!C4+'5th'!F4+'5th'!G4+'5th'!H4-'5th'!I4)</f>
        <v>0</v>
      </c>
      <c r="H3" s="141">
        <f>SUM('6th'!B4+'6th'!C4+'6th'!F4+'6th'!G4+'6th'!H4-'6th'!I4)</f>
        <v>0</v>
      </c>
      <c r="I3" s="141">
        <f>SUM('7th'!B4+'7th'!C4+'7th'!F4+'7th'!G4+'7th'!H4-'7th'!I4)</f>
        <v>0</v>
      </c>
      <c r="J3" s="141">
        <f>SUM('8th'!B4+'8th'!C4+'8th'!F4+'8th'!G4+'8th'!H4-'8th'!I4)</f>
        <v>0</v>
      </c>
      <c r="K3" s="141">
        <f>SUM('9th'!B4+'9th'!C4+'9th'!F4+'9th'!G4+'9th'!H4-'9th'!I4)</f>
        <v>0</v>
      </c>
      <c r="L3" s="141">
        <f>SUM('10th'!B4+'10th'!C4+'10th'!F4+'10th'!G4+'10th'!H4-'10th'!I4)</f>
        <v>0</v>
      </c>
      <c r="M3" s="141">
        <f>SUM('11th'!B4+'11th'!C4+'11th'!F4+'11th'!G4+'11th'!H4-'11th'!I4)</f>
        <v>0</v>
      </c>
      <c r="N3" s="141">
        <f>SUM('12th'!B4+'12th'!C4+'12th'!F4+'12th'!G4+'12th'!H4-'12th'!I4)</f>
        <v>0</v>
      </c>
      <c r="O3" s="141">
        <f>SUM('13th'!B4+'13th'!C4+'13th'!F4+'13th'!G4+'13th'!H4-'13th'!I4)</f>
        <v>0</v>
      </c>
      <c r="P3" s="141">
        <f>SUM('14th'!B4+'14th'!C4+'14th'!F4+'14th'!G4+'14th'!H4-'14th'!I4)</f>
        <v>0</v>
      </c>
      <c r="Q3" s="141">
        <f>SUM('15th'!B4+'15th'!C4+'15th'!F4+'15th'!G4+'15th'!H4-'15th'!I4)</f>
        <v>0</v>
      </c>
      <c r="R3" s="141">
        <f>SUM('16th'!B4+'16th'!C4+'16th'!F4+'16th'!G4+'16th'!H4-'16th'!I4)</f>
        <v>0</v>
      </c>
      <c r="S3" s="141">
        <f>SUM('17th'!B4+'17th'!C4+'17th'!F4+'17th'!G4+'17th'!H4-'17th'!I4)</f>
        <v>0</v>
      </c>
      <c r="T3" s="141">
        <f>SUM('18th'!B4+'18th'!C4+'18th'!F4+'18th'!G4+'18th'!H4-'18th'!I4)</f>
        <v>0</v>
      </c>
      <c r="U3" s="141">
        <f>SUM('19th'!B4+'19th'!C4+'19th'!F4+'19th'!G4+'19th'!H4-'19th'!I4)</f>
        <v>0</v>
      </c>
      <c r="V3" s="141">
        <f>SUM('20th'!B4+'20th'!C4+'20th'!F4+'20th'!G4+'20th'!H4-'20th'!I4)</f>
        <v>0</v>
      </c>
      <c r="W3" s="141">
        <f>SUM('21st'!B4+'21st'!C4+'21st'!F4+'21st'!G4+'21st'!H4-'21st'!I4)</f>
        <v>0</v>
      </c>
      <c r="X3" s="141">
        <f>SUM('22nd'!B4+'22nd'!C4+'22nd'!F4+'22nd'!G4+'22nd'!H4-'22nd'!I4)</f>
        <v>0</v>
      </c>
      <c r="Y3" s="141">
        <f>SUM('23rd'!B4+'23rd'!C4+'23rd'!F4+'23rd'!G4+'23rd'!H4-'23rd'!I4)</f>
        <v>0</v>
      </c>
      <c r="Z3" s="141">
        <f>SUM('24th'!B4+'24th'!C4+'24th'!F4+'24th'!G4+'24th'!H4-'24th'!I4)</f>
        <v>0</v>
      </c>
      <c r="AA3" s="141">
        <f>SUM('25th'!B4+'25th'!C4+'25th'!F4+'25th'!G4+'25th'!H4-'25th'!I4)</f>
        <v>0</v>
      </c>
      <c r="AB3" s="141">
        <f>SUM('26th'!B4+'26th'!C4+'26th'!F4+'26th'!G4+'26th'!H4-'26th'!I4)</f>
        <v>0</v>
      </c>
      <c r="AC3" s="141">
        <f>SUM('27th'!B4+'27th'!C4+'27th'!F4+'27th'!G4+'27th'!H4-'27th'!I4)</f>
        <v>0</v>
      </c>
      <c r="AD3" s="141">
        <f>SUM('28th'!B4+'28th'!C4+'28th'!F4+'28th'!G4+'28th'!H4-'28th'!I4)</f>
        <v>0</v>
      </c>
      <c r="AE3" s="141">
        <f>SUM('29th'!B4+'29th'!C4+'29th'!F4+'29th'!G4+'29th'!H4-'29th'!I4)</f>
        <v>0</v>
      </c>
      <c r="AF3" s="141">
        <f>SUM('30th'!B4+'30th'!C4+'30th'!F4+'30th'!G4+'30th'!H4-'30th'!I4)</f>
        <v>0</v>
      </c>
      <c r="AG3" s="628">
        <f>SUM('31st'!B4+'31st'!C4+'31st'!F4+'31st'!G4+'31st'!H4-'31st'!I4)</f>
        <v>0</v>
      </c>
    </row>
    <row r="4" spans="1:33" ht="26.25" customHeight="1">
      <c r="A4" s="544" t="s">
        <v>81</v>
      </c>
      <c r="B4" s="650">
        <f t="shared" si="1"/>
        <v>25047.16</v>
      </c>
      <c r="C4" s="614">
        <f>SUM('1st'!B5+'1st'!C5+'1st'!F5+'1st'!G5+'1st'!H5-'1st'!I5)</f>
        <v>2209.1200000000003</v>
      </c>
      <c r="D4" s="141">
        <f>SUM('2nd'!B5+'2nd'!C5+'2nd'!F5+'2nd'!G5+'2nd'!H5-'2nd'!I5)</f>
        <v>0</v>
      </c>
      <c r="E4" s="141">
        <f>SUM('3rd'!B5+'3rd'!C5+'3rd'!F5+'3rd'!G5+'3rd'!H5-'3rd'!I5)</f>
        <v>0</v>
      </c>
      <c r="F4" s="141">
        <f>SUM('4th'!B5+'4th'!C5+'4th'!F5+'4th'!G5+'4th'!H5-'4th'!I5)</f>
        <v>2550.0100000000002</v>
      </c>
      <c r="G4" s="141">
        <f>SUM('5th'!B5+'5th'!C5+'5th'!F5+'5th'!G5+'5th'!H5-'5th'!I5)</f>
        <v>2310.52</v>
      </c>
      <c r="H4" s="141">
        <f>SUM('6th'!B5+'6th'!C5+'6th'!F5+'6th'!G5+'6th'!H5-'6th'!I5)</f>
        <v>2574.85</v>
      </c>
      <c r="I4" s="141">
        <f>SUM('7th'!B5+'7th'!C5+'7th'!F5+'7th'!G5+'7th'!H5-'7th'!I5)</f>
        <v>2769.2200000000003</v>
      </c>
      <c r="J4" s="141">
        <f>SUM('8th'!B5+'8th'!C5+'8th'!F5+'8th'!G5+'8th'!H5-'8th'!I5)</f>
        <v>2441.9599999999996</v>
      </c>
      <c r="K4" s="141">
        <f>SUM('9th'!B5+'9th'!C5+'9th'!F5+'9th'!G5+'9th'!H5-'9th'!I5)</f>
        <v>0</v>
      </c>
      <c r="L4" s="141">
        <f>SUM('10th'!B5+'10th'!C5+'10th'!F5+'10th'!G5+'10th'!H5-'10th'!I5)</f>
        <v>0</v>
      </c>
      <c r="M4" s="141">
        <f>SUM('11th'!B5+'11th'!C5+'11th'!F5+'11th'!G5+'11th'!H5-'11th'!I5)</f>
        <v>2530.09</v>
      </c>
      <c r="N4" s="141">
        <f>SUM('12th'!B5+'12th'!C5+'12th'!F5+'12th'!G5+'12th'!H5-'12th'!I5)</f>
        <v>2435.91</v>
      </c>
      <c r="O4" s="141">
        <f>SUM('13th'!B5+'13th'!C5+'13th'!F5+'13th'!G5+'13th'!H5-'13th'!I5)</f>
        <v>2420.89</v>
      </c>
      <c r="P4" s="141">
        <f>SUM('14th'!B5+'14th'!C5+'14th'!F5+'14th'!G5+'14th'!H5-'14th'!I5)</f>
        <v>2804.5899999999997</v>
      </c>
      <c r="Q4" s="141">
        <f>SUM('15th'!B5+'15th'!C5+'15th'!F5+'15th'!G5+'15th'!H5-'15th'!I5)</f>
        <v>0</v>
      </c>
      <c r="R4" s="141">
        <f>SUM('16th'!B5+'16th'!C5+'16th'!F5+'16th'!G5+'16th'!H5-'16th'!I5)</f>
        <v>0</v>
      </c>
      <c r="S4" s="141">
        <f>SUM('17th'!B5+'17th'!C5+'17th'!F5+'17th'!G5+'17th'!H5-'17th'!I5)</f>
        <v>0</v>
      </c>
      <c r="T4" s="141">
        <f>SUM('18th'!B5+'18th'!C5+'18th'!F5+'18th'!G5+'18th'!H5-'18th'!I5)</f>
        <v>0</v>
      </c>
      <c r="U4" s="141">
        <f>SUM('19th'!B5+'19th'!C5+'19th'!F5+'19th'!G5+'19th'!H5-'19th'!I5)</f>
        <v>0</v>
      </c>
      <c r="V4" s="141">
        <f>SUM('20th'!B5+'20th'!C5+'20th'!F5+'20th'!G5+'20th'!H5-'20th'!I5)</f>
        <v>0</v>
      </c>
      <c r="W4" s="141">
        <f>SUM('21st'!B5+'21st'!C5+'21st'!F5+'21st'!G5+'21st'!H5-'21st'!I5)</f>
        <v>0</v>
      </c>
      <c r="X4" s="141">
        <f>SUM('22nd'!B5+'22nd'!C5+'22nd'!F5+'22nd'!G5+'22nd'!H5-'22nd'!I5)</f>
        <v>0</v>
      </c>
      <c r="Y4" s="141">
        <f>SUM('23rd'!B5+'23rd'!C5+'23rd'!F5+'23rd'!G5+'23rd'!H5-'23rd'!I5)</f>
        <v>0</v>
      </c>
      <c r="Z4" s="141">
        <f>SUM('24th'!B5+'24th'!C5+'24th'!F5+'24th'!G5+'24th'!H5-'24th'!I5)</f>
        <v>0</v>
      </c>
      <c r="AA4" s="141">
        <f>SUM('25th'!B5+'25th'!C5+'25th'!F5+'25th'!G5+'25th'!H5-'25th'!I5)</f>
        <v>0</v>
      </c>
      <c r="AB4" s="141">
        <f>SUM('26th'!B5+'26th'!C5+'26th'!F5+'26th'!G5+'26th'!H5-'26th'!I5)</f>
        <v>0</v>
      </c>
      <c r="AC4" s="141">
        <f>SUM('27th'!B5+'27th'!C5+'27th'!F5+'27th'!G5+'27th'!H5-'27th'!I5)</f>
        <v>0</v>
      </c>
      <c r="AD4" s="141">
        <f>SUM('28th'!B5+'28th'!C5+'28th'!F5+'28th'!G5+'28th'!H5-'28th'!I5)</f>
        <v>0</v>
      </c>
      <c r="AE4" s="141">
        <f>SUM('29th'!B5+'29th'!C5+'29th'!F5+'29th'!G5+'29th'!H5-'29th'!I5)</f>
        <v>0</v>
      </c>
      <c r="AF4" s="141">
        <f>SUM('30th'!B5+'30th'!C5+'30th'!F5+'30th'!G5+'30th'!H5-'30th'!I5)</f>
        <v>0</v>
      </c>
      <c r="AG4" s="628">
        <f>SUM('31st'!B5+'31st'!C5+'31st'!F5+'31st'!G5+'31st'!H5-'31st'!I5)</f>
        <v>0</v>
      </c>
    </row>
    <row r="5" spans="1:33" s="154" customFormat="1" ht="26.25" customHeight="1">
      <c r="A5" s="544" t="s">
        <v>78</v>
      </c>
      <c r="B5" s="650">
        <f t="shared" si="1"/>
        <v>11622.439999999999</v>
      </c>
      <c r="C5" s="614">
        <f>SUM('1st'!B6+'1st'!C6+'1st'!F6+'1st'!G6+'1st'!H6-'1st'!I6)</f>
        <v>994.81</v>
      </c>
      <c r="D5" s="141">
        <f>SUM('2nd'!B6+'2nd'!C6+'2nd'!F6+'2nd'!G6+'2nd'!H6-'2nd'!I6)</f>
        <v>0</v>
      </c>
      <c r="E5" s="141">
        <f>SUM('3rd'!B6+'3rd'!C6+'3rd'!F6+'3rd'!G6+'3rd'!H6-'3rd'!I6)</f>
        <v>0</v>
      </c>
      <c r="F5" s="141">
        <f>SUM('4th'!B6+'4th'!C6+'4th'!F6+'4th'!G6+'4th'!H6-'4th'!I6)</f>
        <v>1009.2199999999999</v>
      </c>
      <c r="G5" s="141">
        <f>SUM('5th'!B6+'5th'!C6+'5th'!F6+'5th'!G6+'5th'!H6-'5th'!I6)</f>
        <v>1236.4199999999998</v>
      </c>
      <c r="H5" s="141">
        <f>SUM('6th'!B6+'6th'!C6+'6th'!F6+'6th'!G6+'6th'!H6-'6th'!I6)</f>
        <v>1332.1599999999999</v>
      </c>
      <c r="I5" s="141">
        <f>SUM('7th'!B6+'7th'!C6+'7th'!F6+'7th'!G6+'7th'!H6-'7th'!I6)</f>
        <v>1297.3700000000001</v>
      </c>
      <c r="J5" s="141">
        <f>SUM('8th'!B6+'8th'!C6+'8th'!F6+'8th'!G6+'8th'!H6-'8th'!I6)</f>
        <v>937.86</v>
      </c>
      <c r="K5" s="141">
        <f>SUM('9th'!B6+'9th'!C6+'9th'!F6+'9th'!G6+'9th'!H6-'9th'!I6)</f>
        <v>0</v>
      </c>
      <c r="L5" s="141">
        <f>SUM('10th'!B6+'10th'!C6+'10th'!F6+'10th'!G6+'10th'!H6-'10th'!I6)</f>
        <v>0</v>
      </c>
      <c r="M5" s="141">
        <f>SUM('11th'!B6+'11th'!C6+'11th'!F6+'11th'!G6+'11th'!H6-'11th'!I6)</f>
        <v>1008.3199999999999</v>
      </c>
      <c r="N5" s="141">
        <f>SUM('12th'!B6+'12th'!C6+'12th'!F6+'12th'!G6+'12th'!H6-'12th'!I6)</f>
        <v>1011.6800000000001</v>
      </c>
      <c r="O5" s="141">
        <f>SUM('13th'!B6+'13th'!C6+'13th'!F6+'13th'!G6+'13th'!H6-'13th'!I6)</f>
        <v>1363.34</v>
      </c>
      <c r="P5" s="141">
        <f>SUM('14th'!B6+'14th'!C6+'14th'!F6+'14th'!G6+'14th'!H6-'14th'!I6)</f>
        <v>1431.26</v>
      </c>
      <c r="Q5" s="141">
        <f>SUM('15th'!B6+'15th'!C6+'15th'!F6+'15th'!G6+'15th'!H6-'15th'!I6)</f>
        <v>0</v>
      </c>
      <c r="R5" s="141">
        <f>SUM('16th'!B6+'16th'!C6+'16th'!F6+'16th'!G6+'16th'!H6-'16th'!I6)</f>
        <v>0</v>
      </c>
      <c r="S5" s="141">
        <f>SUM('17th'!B6+'17th'!C6+'17th'!F6+'17th'!G6+'17th'!H6-'17th'!I6)</f>
        <v>0</v>
      </c>
      <c r="T5" s="141">
        <f>SUM('18th'!B6+'18th'!C6+'18th'!F6+'18th'!G6+'18th'!H6-'18th'!I6)</f>
        <v>0</v>
      </c>
      <c r="U5" s="141">
        <f>SUM('19th'!B6+'19th'!C6+'19th'!F6+'19th'!G6+'19th'!H6-'19th'!I6)</f>
        <v>0</v>
      </c>
      <c r="V5" s="141">
        <f>SUM('20th'!B6+'20th'!C6+'20th'!F6+'20th'!G6+'20th'!H6-'20th'!I6)</f>
        <v>0</v>
      </c>
      <c r="W5" s="141">
        <f>SUM('21st'!B6+'21st'!C6+'21st'!F6+'21st'!G6+'21st'!H6-'21st'!I6)</f>
        <v>0</v>
      </c>
      <c r="X5" s="141">
        <f>SUM('22nd'!B6+'22nd'!C6+'22nd'!F6+'22nd'!G6+'22nd'!H6-'22nd'!I6)</f>
        <v>0</v>
      </c>
      <c r="Y5" s="141">
        <f>SUM('23rd'!B6+'23rd'!C6+'23rd'!F6+'23rd'!G6+'23rd'!H6-'23rd'!I6)</f>
        <v>0</v>
      </c>
      <c r="Z5" s="141">
        <f>SUM('24th'!B6+'24th'!C6+'24th'!F6+'24th'!G6+'24th'!H6-'24th'!I6)</f>
        <v>0</v>
      </c>
      <c r="AA5" s="141">
        <f>SUM('25th'!B6+'25th'!C6+'25th'!F6+'25th'!G6+'25th'!H6-'25th'!I6)</f>
        <v>0</v>
      </c>
      <c r="AB5" s="141">
        <f>SUM('26th'!B6+'26th'!C6+'26th'!F6+'26th'!G6+'26th'!H6-'26th'!I6)</f>
        <v>0</v>
      </c>
      <c r="AC5" s="141">
        <f>SUM('27th'!B6+'27th'!C6+'27th'!F6+'27th'!G6+'27th'!H6-'27th'!I6)</f>
        <v>0</v>
      </c>
      <c r="AD5" s="141">
        <f>SUM('28th'!B6+'28th'!C6+'28th'!F6+'28th'!G6+'28th'!H6-'28th'!I6)</f>
        <v>0</v>
      </c>
      <c r="AE5" s="141">
        <f>SUM('29th'!B6+'29th'!C6+'29th'!F6+'29th'!G6+'29th'!H6-'29th'!I6)</f>
        <v>0</v>
      </c>
      <c r="AF5" s="141">
        <f>SUM('30th'!B6+'30th'!C6+'30th'!F6+'30th'!G6+'30th'!H6-'30th'!I6)</f>
        <v>0</v>
      </c>
      <c r="AG5" s="628">
        <f>SUM('31st'!B6+'31st'!C6+'31st'!F6+'31st'!G6+'31st'!H6-'31st'!I6)</f>
        <v>0</v>
      </c>
    </row>
    <row r="6" spans="1:33" ht="26.25" customHeight="1" thickBot="1">
      <c r="A6" s="315" t="s">
        <v>143</v>
      </c>
      <c r="B6" s="651">
        <f t="shared" si="1"/>
        <v>10005.970000000001</v>
      </c>
      <c r="C6" s="629">
        <f>SUM('1st'!B7+'1st'!C7+'1st'!F7+'1st'!G7+'1st'!H7-'1st'!I7)</f>
        <v>839.15000000000009</v>
      </c>
      <c r="D6" s="630">
        <f>SUM('2nd'!B7+'2nd'!C7+'2nd'!F7+'2nd'!G7+'2nd'!H7-'2nd'!I7)</f>
        <v>0</v>
      </c>
      <c r="E6" s="630">
        <f>SUM('3rd'!B7+'3rd'!C7+'3rd'!F7+'3rd'!G7+'3rd'!H7-'3rd'!I7)</f>
        <v>0</v>
      </c>
      <c r="F6" s="630">
        <f>SUM('4th'!B7+'4th'!C7+'4th'!F7+'4th'!G7+'4th'!H7-'4th'!I7)</f>
        <v>992.22</v>
      </c>
      <c r="G6" s="630">
        <f>SUM('5th'!B7+'5th'!C7+'5th'!F7+'5th'!G7+'5th'!H7-'5th'!I7)</f>
        <v>926.17</v>
      </c>
      <c r="H6" s="630">
        <f>SUM('6th'!B7+'6th'!C7+'6th'!F7+'6th'!G7+'6th'!H7-'6th'!I7)</f>
        <v>1207.5999999999999</v>
      </c>
      <c r="I6" s="630">
        <f>SUM('7th'!B7+'7th'!C7+'7th'!F7+'7th'!G7+'7th'!H7-'7th'!I7)</f>
        <v>1190.2</v>
      </c>
      <c r="J6" s="630">
        <f>SUM('8th'!B7+'8th'!C7+'8th'!F7+'8th'!G7+'8th'!H7-'8th'!I7)</f>
        <v>1000.0699999999999</v>
      </c>
      <c r="K6" s="630">
        <f>SUM('9th'!B7+'9th'!C7+'9th'!F7+'9th'!G7+'9th'!H7-'9th'!I7)</f>
        <v>0</v>
      </c>
      <c r="L6" s="630">
        <f>SUM('10th'!B7+'10th'!C7+'10th'!F7+'10th'!G7+'10th'!H7-'10th'!I7)</f>
        <v>0</v>
      </c>
      <c r="M6" s="630">
        <f>SUM('11th'!B7+'11th'!C7+'11th'!F7+'11th'!G7+'11th'!H7-'11th'!I7)</f>
        <v>868.67</v>
      </c>
      <c r="N6" s="630">
        <f>SUM('12th'!B7+'12th'!C7+'12th'!F7+'12th'!G7+'12th'!H7-'12th'!I7)</f>
        <v>933.06999999999994</v>
      </c>
      <c r="O6" s="630">
        <f>SUM('13th'!B7+'13th'!C7+'13th'!F7+'13th'!G7+'13th'!H7-'13th'!I7)</f>
        <v>974.61000000000013</v>
      </c>
      <c r="P6" s="630">
        <f>SUM('14th'!B7+'14th'!C7+'14th'!F7+'14th'!G7+'14th'!H7-'14th'!I7)</f>
        <v>1074.21</v>
      </c>
      <c r="Q6" s="630">
        <f>SUM('15th'!B7+'15th'!C7+'15th'!F7+'15th'!G7+'15th'!H7-'15th'!I7)</f>
        <v>0</v>
      </c>
      <c r="R6" s="630">
        <f>SUM('16th'!B7+'16th'!C7+'16th'!F7+'16th'!G7+'16th'!H7-'16th'!I7)</f>
        <v>0</v>
      </c>
      <c r="S6" s="630">
        <f>SUM('17th'!B7+'17th'!C7+'17th'!F7+'17th'!G7+'17th'!H7-'17th'!I7)</f>
        <v>0</v>
      </c>
      <c r="T6" s="630">
        <f>SUM('18th'!B7+'18th'!C7+'18th'!F7+'18th'!G7+'18th'!H7-'18th'!I7)</f>
        <v>0</v>
      </c>
      <c r="U6" s="630">
        <f>SUM('19th'!B7+'19th'!C7+'19th'!F7+'19th'!G7+'19th'!H7-'19th'!I7)</f>
        <v>0</v>
      </c>
      <c r="V6" s="630">
        <f>SUM('20th'!B7+'20th'!C7+'20th'!F7+'20th'!G7+'20th'!H7-'20th'!I7)</f>
        <v>0</v>
      </c>
      <c r="W6" s="630">
        <f>SUM('21st'!B7+'21st'!C7+'21st'!F7+'21st'!G7+'21st'!H7-'21st'!I7)</f>
        <v>0</v>
      </c>
      <c r="X6" s="630">
        <f>SUM('22nd'!B7+'22nd'!C7+'22nd'!F7+'22nd'!G7+'22nd'!H7-'22nd'!I7)</f>
        <v>0</v>
      </c>
      <c r="Y6" s="630">
        <f>SUM('23rd'!B7+'23rd'!C7+'23rd'!F7+'23rd'!G7+'23rd'!H7-'23rd'!I7)</f>
        <v>0</v>
      </c>
      <c r="Z6" s="630">
        <f>SUM('24th'!B7+'24th'!C7+'24th'!F7+'24th'!G7+'24th'!H7-'24th'!I7)</f>
        <v>0</v>
      </c>
      <c r="AA6" s="630">
        <f>SUM('25th'!B7+'25th'!C7+'25th'!F7+'25th'!G7+'25th'!H7-'25th'!I7)</f>
        <v>0</v>
      </c>
      <c r="AB6" s="630">
        <f>SUM('26th'!B7+'26th'!C7+'26th'!F7+'26th'!G7+'26th'!H7-'26th'!I7)</f>
        <v>0</v>
      </c>
      <c r="AC6" s="630">
        <f>SUM('27th'!B7+'27th'!C7+'27th'!F7+'27th'!G7+'27th'!H7-'27th'!I7)</f>
        <v>0</v>
      </c>
      <c r="AD6" s="630">
        <f>SUM('28th'!B7+'28th'!C7+'28th'!F7+'28th'!G7+'28th'!H7-'28th'!I7)</f>
        <v>0</v>
      </c>
      <c r="AE6" s="630">
        <f>SUM('29th'!B7+'29th'!C7+'29th'!F7+'29th'!G7+'29th'!H7-'29th'!I7)</f>
        <v>0</v>
      </c>
      <c r="AF6" s="630">
        <f>SUM('30th'!B7+'30th'!C7+'30th'!F7+'30th'!G7+'30th'!H7-'30th'!I7)</f>
        <v>0</v>
      </c>
      <c r="AG6" s="631">
        <f>SUM('31st'!B7+'31st'!C7+'31st'!F7+'31st'!G7+'31st'!H7-'31st'!I7)</f>
        <v>0</v>
      </c>
    </row>
    <row r="7" spans="1:33" s="154" customFormat="1" ht="26.25" customHeight="1">
      <c r="A7" s="635" t="s">
        <v>82</v>
      </c>
      <c r="B7" s="647">
        <f t="shared" si="1"/>
        <v>51552.359999999993</v>
      </c>
      <c r="C7" s="618">
        <f>SUM('1st'!B8+'1st'!C8+'1st'!F8+'1st'!G8+'1st'!H8-'1st'!I8)</f>
        <v>1679.2500000000002</v>
      </c>
      <c r="D7" s="619">
        <f>SUM('2nd'!B8+'2nd'!C8+'2nd'!F8+'2nd'!G8+'2nd'!H8-'2nd'!I8)</f>
        <v>4095.25</v>
      </c>
      <c r="E7" s="619">
        <f>SUM('3rd'!B8+'3rd'!C8+'3rd'!F8+'3rd'!G8+'3rd'!H8-'3rd'!I8)</f>
        <v>3333.91</v>
      </c>
      <c r="F7" s="619">
        <f>SUM('4th'!B8+'4th'!C8+'4th'!F8+'4th'!G8+'4th'!H8-'4th'!I8)</f>
        <v>4392.58</v>
      </c>
      <c r="G7" s="619">
        <f>SUM('5th'!B8+'5th'!C8+'5th'!F8+'5th'!G8+'5th'!H8-'5th'!I8)</f>
        <v>3445.1099999999997</v>
      </c>
      <c r="H7" s="619">
        <f>SUM('6th'!B8+'6th'!C8+'6th'!F8+'6th'!G8+'6th'!H8-'6th'!I8)</f>
        <v>4041.0099999999998</v>
      </c>
      <c r="I7" s="619">
        <f>SUM('7th'!B8+'7th'!C8+'7th'!F8+'7th'!G8+'7th'!H8-'7th'!I8)</f>
        <v>3991.5299999999997</v>
      </c>
      <c r="J7" s="619">
        <f>SUM('8th'!B8+'8th'!C8+'8th'!F8+'8th'!G8+'8th'!H8-'8th'!I8)</f>
        <v>3941.4800000000005</v>
      </c>
      <c r="K7" s="619">
        <f>SUM('9th'!B8+'9th'!C8+'9th'!F8+'9th'!G8+'9th'!H8-'9th'!I8)</f>
        <v>3736.12</v>
      </c>
      <c r="L7" s="619">
        <f>SUM('10th'!B8+'10th'!C8+'10th'!F8+'10th'!G8+'10th'!H8-'10th'!I8)</f>
        <v>3456.63</v>
      </c>
      <c r="M7" s="619">
        <f>SUM('11th'!B8+'11th'!C8+'11th'!F8+'11th'!G8+'11th'!H8-'11th'!I8)</f>
        <v>3764.85</v>
      </c>
      <c r="N7" s="619">
        <f>SUM('12th'!B8+'12th'!C8+'12th'!F8+'12th'!G8+'12th'!H8-'12th'!I8)</f>
        <v>3518.7699999999995</v>
      </c>
      <c r="O7" s="619">
        <f>SUM('13th'!B8+'13th'!C8+'13th'!F8+'13th'!G8+'13th'!H8-'13th'!I8)</f>
        <v>3931.62</v>
      </c>
      <c r="P7" s="619">
        <f>SUM('14th'!B8+'14th'!C8+'14th'!F8+'14th'!G8+'14th'!H8-'14th'!I8)</f>
        <v>4224.2499999999991</v>
      </c>
      <c r="Q7" s="619">
        <f>SUM('15th'!B8+'15th'!C8+'15th'!F8+'15th'!G8+'15th'!H8-'15th'!I8)</f>
        <v>0</v>
      </c>
      <c r="R7" s="619">
        <f>SUM('16th'!B8+'16th'!C8+'16th'!F8+'16th'!G8+'16th'!H8-'16th'!I8)</f>
        <v>0</v>
      </c>
      <c r="S7" s="619">
        <f>SUM('17th'!B8+'17th'!C8+'17th'!F8+'17th'!G8+'17th'!H8-'17th'!I8)</f>
        <v>0</v>
      </c>
      <c r="T7" s="619">
        <f>SUM('18th'!B8+'18th'!C8+'18th'!F8+'18th'!G8+'18th'!H8-'18th'!I8)</f>
        <v>0</v>
      </c>
      <c r="U7" s="619">
        <f>SUM('19th'!B8+'19th'!C8+'19th'!F8+'19th'!G8+'19th'!H8-'19th'!I8)</f>
        <v>0</v>
      </c>
      <c r="V7" s="619">
        <f>SUM('20th'!B8+'20th'!C8+'20th'!F8+'20th'!G8+'20th'!H8-'20th'!I8)</f>
        <v>0</v>
      </c>
      <c r="W7" s="619">
        <f>SUM('21st'!B8+'21st'!C8+'21st'!F8+'21st'!G8+'21st'!H8-'21st'!I8)</f>
        <v>0</v>
      </c>
      <c r="X7" s="619">
        <f>SUM('22nd'!B8+'22nd'!C8+'22nd'!F8+'22nd'!G8+'22nd'!H8-'22nd'!I8)</f>
        <v>0</v>
      </c>
      <c r="Y7" s="619">
        <f>SUM('23rd'!B8+'23rd'!C8+'23rd'!F8+'23rd'!G8+'23rd'!H8-'23rd'!I8)</f>
        <v>0</v>
      </c>
      <c r="Z7" s="619">
        <f>SUM('24th'!B8+'24th'!C8+'24th'!F8+'24th'!G8+'24th'!H8-'24th'!I8)</f>
        <v>0</v>
      </c>
      <c r="AA7" s="619">
        <f>SUM('25th'!B8+'25th'!C8+'25th'!F8+'25th'!G8+'25th'!H8-'25th'!I8)</f>
        <v>0</v>
      </c>
      <c r="AB7" s="619">
        <f>SUM('26th'!B8+'26th'!C8+'26th'!F8+'26th'!G8+'26th'!H8-'26th'!I8)</f>
        <v>0</v>
      </c>
      <c r="AC7" s="619">
        <f>SUM('27th'!B8+'27th'!C8+'27th'!F8+'27th'!G8+'27th'!H8-'27th'!I8)</f>
        <v>0</v>
      </c>
      <c r="AD7" s="619">
        <f>SUM('28th'!B8+'28th'!C8+'28th'!F8+'28th'!G8+'28th'!H8-'28th'!I8)</f>
        <v>0</v>
      </c>
      <c r="AE7" s="619">
        <f>SUM('29th'!B8+'29th'!C8+'29th'!F8+'29th'!G8+'29th'!H8-'29th'!I8)</f>
        <v>0</v>
      </c>
      <c r="AF7" s="619">
        <f>SUM('30th'!B8+'30th'!C8+'30th'!F8+'30th'!G8+'30th'!H8-'30th'!I8)</f>
        <v>0</v>
      </c>
      <c r="AG7" s="619">
        <f>SUM('31st'!B8+'31st'!C8+'31st'!F8+'31st'!G8+'31st'!H8-'31st'!I8)</f>
        <v>0</v>
      </c>
    </row>
    <row r="8" spans="1:33" ht="26.25" customHeight="1">
      <c r="A8" s="545" t="s">
        <v>83</v>
      </c>
      <c r="B8" s="634">
        <f t="shared" si="1"/>
        <v>21126.769999999997</v>
      </c>
      <c r="C8" s="614">
        <f>SUM('1st'!B9+'1st'!C9+'1st'!F9+'1st'!G9+'1st'!H9-'1st'!I9)</f>
        <v>3639.5900000000006</v>
      </c>
      <c r="D8" s="141">
        <f>SUM('2nd'!B9+'2nd'!C9+'2nd'!F9+'2nd'!G9+'2nd'!H9-'2nd'!I9)</f>
        <v>0</v>
      </c>
      <c r="E8" s="141">
        <f>SUM('3rd'!B9+'3rd'!C9+'3rd'!F9+'3rd'!G9+'3rd'!H9-'3rd'!I9)</f>
        <v>0</v>
      </c>
      <c r="F8" s="141">
        <f>SUM('4th'!B9+'4th'!C9+'4th'!F9+'4th'!G9+'4th'!H9-'4th'!I9)</f>
        <v>1985.1799999999998</v>
      </c>
      <c r="G8" s="141">
        <f>SUM('5th'!B9+'5th'!C9+'5th'!F9+'5th'!G9+'5th'!H9-'5th'!I9)</f>
        <v>1761.58</v>
      </c>
      <c r="H8" s="141">
        <f>SUM('6th'!B9+'6th'!C9+'6th'!F9+'6th'!G9+'6th'!H9-'6th'!I9)</f>
        <v>1971.5800000000002</v>
      </c>
      <c r="I8" s="141">
        <f>SUM('7th'!B9+'7th'!C9+'7th'!F9+'7th'!G9+'7th'!H9-'7th'!I9)</f>
        <v>1999.3899999999999</v>
      </c>
      <c r="J8" s="141">
        <f>SUM('8th'!B9+'8th'!C9+'8th'!F9+'8th'!G9+'8th'!H9-'8th'!I9)</f>
        <v>1823.0699999999997</v>
      </c>
      <c r="K8" s="141">
        <f>SUM('9th'!B9+'9th'!C9+'9th'!F9+'9th'!G9+'9th'!H9-'9th'!I9)</f>
        <v>0</v>
      </c>
      <c r="L8" s="141">
        <f>SUM('10th'!B9+'10th'!C9+'10th'!F9+'10th'!G9+'10th'!H9-'10th'!I9)</f>
        <v>0</v>
      </c>
      <c r="M8" s="141">
        <f>SUM('11th'!B9+'11th'!C9+'11th'!F9+'11th'!G9+'11th'!H9-'11th'!I9)</f>
        <v>1969.7599999999998</v>
      </c>
      <c r="N8" s="141">
        <f>SUM('12th'!B9+'12th'!C9+'12th'!F9+'12th'!G9+'12th'!H9-'12th'!I9)</f>
        <v>2031.52</v>
      </c>
      <c r="O8" s="141">
        <f>SUM('13th'!B9+'13th'!C9+'13th'!F9+'13th'!G9+'13th'!H9-'13th'!I9)</f>
        <v>1678.42</v>
      </c>
      <c r="P8" s="141">
        <f>SUM('14th'!B9+'14th'!C9+'14th'!F9+'14th'!G9+'14th'!H9-'14th'!I9)</f>
        <v>2266.6799999999998</v>
      </c>
      <c r="Q8" s="141">
        <f>SUM('15th'!B9+'15th'!C9+'15th'!F9+'15th'!G9+'15th'!H9-'15th'!I9)</f>
        <v>0</v>
      </c>
      <c r="R8" s="141">
        <f>SUM('16th'!B9+'16th'!C9+'16th'!F9+'16th'!G9+'16th'!H9-'16th'!I9)</f>
        <v>0</v>
      </c>
      <c r="S8" s="141">
        <f>SUM('17th'!B9+'17th'!C9+'17th'!F9+'17th'!G9+'17th'!H9-'17th'!I9)</f>
        <v>0</v>
      </c>
      <c r="T8" s="141">
        <f>SUM('18th'!B9+'18th'!C9+'18th'!F9+'18th'!G9+'18th'!H9-'18th'!I9)</f>
        <v>0</v>
      </c>
      <c r="U8" s="141">
        <f>SUM('19th'!B9+'19th'!C9+'19th'!F9+'19th'!G9+'19th'!H9-'19th'!I9)</f>
        <v>0</v>
      </c>
      <c r="V8" s="141">
        <f>SUM('20th'!B9+'20th'!C9+'20th'!F9+'20th'!G9+'20th'!H9-'20th'!I9)</f>
        <v>0</v>
      </c>
      <c r="W8" s="141">
        <f>SUM('21st'!B9+'21st'!C9+'21st'!F9+'21st'!G9+'21st'!H9-'21st'!I9)</f>
        <v>0</v>
      </c>
      <c r="X8" s="141">
        <f>SUM('22nd'!B9+'22nd'!C9+'22nd'!F9+'22nd'!G9+'22nd'!H9-'22nd'!I9)</f>
        <v>0</v>
      </c>
      <c r="Y8" s="141">
        <f>SUM('23rd'!B9+'23rd'!C9+'23rd'!F9+'23rd'!G9+'23rd'!H9-'23rd'!I9)</f>
        <v>0</v>
      </c>
      <c r="Z8" s="141">
        <f>SUM('24th'!B9+'24th'!C9+'24th'!F9+'24th'!G9+'24th'!H9-'24th'!I9)</f>
        <v>0</v>
      </c>
      <c r="AA8" s="141">
        <f>SUM('25th'!B9+'25th'!C9+'25th'!F9+'25th'!G9+'25th'!H9-'25th'!I9)</f>
        <v>0</v>
      </c>
      <c r="AB8" s="141">
        <f>SUM('26th'!B9+'26th'!C9+'26th'!F9+'26th'!G9+'26th'!H9-'26th'!I9)</f>
        <v>0</v>
      </c>
      <c r="AC8" s="141">
        <f>SUM('27th'!B9+'27th'!C9+'27th'!F9+'27th'!G9+'27th'!H9-'27th'!I9)</f>
        <v>0</v>
      </c>
      <c r="AD8" s="141">
        <f>SUM('28th'!B9+'28th'!C9+'28th'!F9+'28th'!G9+'28th'!H9-'28th'!I9)</f>
        <v>0</v>
      </c>
      <c r="AE8" s="141">
        <f>SUM('29th'!B9+'29th'!C9+'29th'!F9+'29th'!G9+'29th'!H9-'29th'!I9)</f>
        <v>0</v>
      </c>
      <c r="AF8" s="141">
        <f>SUM('30th'!B9+'30th'!C9+'30th'!F9+'30th'!G9+'30th'!H9-'30th'!I9)</f>
        <v>0</v>
      </c>
      <c r="AG8" s="141">
        <f>SUM('31st'!B9+'31st'!C9+'31st'!F9+'31st'!G9+'31st'!H9-'31st'!I9)</f>
        <v>0</v>
      </c>
    </row>
    <row r="9" spans="1:33" s="154" customFormat="1" ht="26.25" customHeight="1">
      <c r="A9" s="545" t="s">
        <v>84</v>
      </c>
      <c r="B9" s="634">
        <f t="shared" si="1"/>
        <v>0</v>
      </c>
      <c r="C9" s="614">
        <f>SUM('1st'!B10+'1st'!C10+'1st'!F10+'1st'!G10+'1st'!H10-'1st'!I10)</f>
        <v>0</v>
      </c>
      <c r="D9" s="141">
        <f>SUM('2nd'!B10+'2nd'!C10+'2nd'!F10+'2nd'!G10+'2nd'!H10-'2nd'!I10)</f>
        <v>0</v>
      </c>
      <c r="E9" s="141">
        <f>SUM('3rd'!B10+'3rd'!C10+'3rd'!F10+'3rd'!G10+'3rd'!H10-'3rd'!I10)</f>
        <v>0</v>
      </c>
      <c r="F9" s="141">
        <f>SUM('4th'!B10+'4th'!C10+'4th'!F10+'4th'!G10+'4th'!H10-'4th'!I10)</f>
        <v>0</v>
      </c>
      <c r="G9" s="141">
        <f>SUM('5th'!B10+'5th'!C10+'5th'!F10+'5th'!G10+'5th'!H10-'5th'!I10)</f>
        <v>0</v>
      </c>
      <c r="H9" s="141">
        <f>SUM('6th'!B10+'6th'!C10+'6th'!F10+'6th'!G10+'6th'!H10-'6th'!I10)</f>
        <v>0</v>
      </c>
      <c r="I9" s="141">
        <f>SUM('7th'!B10+'7th'!C10+'7th'!F10+'7th'!G10+'7th'!H10-'7th'!I10)</f>
        <v>0</v>
      </c>
      <c r="J9" s="141">
        <f>SUM('8th'!B10+'8th'!C10+'8th'!F10+'8th'!G10+'8th'!H10-'8th'!I10)</f>
        <v>0</v>
      </c>
      <c r="K9" s="141">
        <f>SUM('9th'!B10+'9th'!C10+'9th'!F10+'9th'!G10+'9th'!H10-'9th'!I10)</f>
        <v>0</v>
      </c>
      <c r="L9" s="141">
        <f>SUM('10th'!B10+'10th'!C10+'10th'!F10+'10th'!G10+'10th'!H10-'10th'!I10)</f>
        <v>0</v>
      </c>
      <c r="M9" s="141">
        <f>SUM('11th'!B10+'11th'!C10+'11th'!F10+'11th'!G10+'11th'!H10-'11th'!I10)</f>
        <v>0</v>
      </c>
      <c r="N9" s="141">
        <f>SUM('12th'!B10+'12th'!C10+'12th'!F10+'12th'!G10+'12th'!H10-'12th'!I10)</f>
        <v>0</v>
      </c>
      <c r="O9" s="141">
        <f>SUM('13th'!B10+'13th'!C10+'13th'!F10+'13th'!G10+'13th'!H10-'13th'!I10)</f>
        <v>0</v>
      </c>
      <c r="P9" s="141">
        <f>SUM('14th'!B10+'14th'!C10+'14th'!F10+'14th'!G10+'14th'!H10-'14th'!I10)</f>
        <v>0</v>
      </c>
      <c r="Q9" s="141">
        <f>SUM('15th'!B10+'15th'!C10+'15th'!F10+'15th'!G10+'15th'!H10-'15th'!I10)</f>
        <v>0</v>
      </c>
      <c r="R9" s="141">
        <f>SUM('16th'!B10+'16th'!C10+'16th'!F10+'16th'!G10+'16th'!H10-'16th'!I10)</f>
        <v>0</v>
      </c>
      <c r="S9" s="141">
        <f>SUM('17th'!B10+'17th'!C10+'17th'!F10+'17th'!G10+'17th'!H10-'17th'!I10)</f>
        <v>0</v>
      </c>
      <c r="T9" s="141">
        <f>SUM('18th'!B10+'18th'!C10+'18th'!F10+'18th'!G10+'18th'!H10-'18th'!I10)</f>
        <v>0</v>
      </c>
      <c r="U9" s="141">
        <f>SUM('19th'!B10+'19th'!C10+'19th'!F10+'19th'!G10+'19th'!H10-'19th'!I10)</f>
        <v>0</v>
      </c>
      <c r="V9" s="141">
        <f>SUM('20th'!B10+'20th'!C10+'20th'!F10+'20th'!G10+'20th'!H10-'20th'!I10)</f>
        <v>0</v>
      </c>
      <c r="W9" s="141">
        <f>SUM('21st'!B10+'21st'!C10+'21st'!F10+'21st'!G10+'21st'!H10-'21st'!I10)</f>
        <v>0</v>
      </c>
      <c r="X9" s="141">
        <f>SUM('22nd'!B10+'22nd'!C10+'22nd'!F10+'22nd'!G10+'22nd'!H10-'22nd'!I10)</f>
        <v>0</v>
      </c>
      <c r="Y9" s="141">
        <f>SUM('23rd'!B10+'23rd'!C10+'23rd'!F10+'23rd'!G10+'23rd'!H10-'23rd'!I10)</f>
        <v>0</v>
      </c>
      <c r="Z9" s="141">
        <f>SUM('24th'!B10+'24th'!C10+'24th'!F10+'24th'!G10+'24th'!H10-'24th'!I10)</f>
        <v>0</v>
      </c>
      <c r="AA9" s="141">
        <f>SUM('25th'!B10+'25th'!C10+'25th'!F10+'25th'!G10+'25th'!H10-'25th'!I10)</f>
        <v>0</v>
      </c>
      <c r="AB9" s="141">
        <f>SUM('26th'!B10+'26th'!C10+'26th'!F10+'26th'!G10+'26th'!H10-'26th'!I10)</f>
        <v>0</v>
      </c>
      <c r="AC9" s="141">
        <f>SUM('27th'!B10+'27th'!C10+'27th'!F10+'27th'!G10+'27th'!H10-'27th'!I10)</f>
        <v>0</v>
      </c>
      <c r="AD9" s="141">
        <f>SUM('28th'!B10+'28th'!C10+'28th'!F10+'28th'!G10+'28th'!H10-'28th'!I10)</f>
        <v>0</v>
      </c>
      <c r="AE9" s="141">
        <f>SUM('29th'!B10+'29th'!C10+'29th'!F10+'29th'!G10+'29th'!H10-'29th'!I10)</f>
        <v>0</v>
      </c>
      <c r="AF9" s="141">
        <f>SUM('30th'!B10+'30th'!C10+'30th'!F10+'30th'!G10+'30th'!H10-'30th'!I10)</f>
        <v>0</v>
      </c>
      <c r="AG9" s="141">
        <f>SUM('31st'!B10+'31st'!C10+'31st'!F10+'31st'!G10+'31st'!H10-'31st'!I10)</f>
        <v>0</v>
      </c>
    </row>
    <row r="10" spans="1:33" ht="26.25" customHeight="1">
      <c r="A10" s="545" t="s">
        <v>106</v>
      </c>
      <c r="B10" s="634">
        <f t="shared" si="1"/>
        <v>20975.010000000002</v>
      </c>
      <c r="C10" s="614">
        <f>SUM('1st'!B11+'1st'!C11+'1st'!F11+'1st'!G11+'1st'!H11-'1st'!I11)</f>
        <v>1907.5999999999997</v>
      </c>
      <c r="D10" s="141">
        <f>SUM('2nd'!B11+'2nd'!C11+'2nd'!F11+'2nd'!G11+'2nd'!H11-'2nd'!I11)</f>
        <v>0</v>
      </c>
      <c r="E10" s="141">
        <f>SUM('3rd'!B11+'3rd'!C11+'3rd'!F11+'3rd'!G11+'3rd'!H11-'3rd'!I11)</f>
        <v>0</v>
      </c>
      <c r="F10" s="141">
        <f>SUM('4th'!B11+'4th'!C11+'4th'!F11+'4th'!G11+'4th'!H11-'4th'!I11)</f>
        <v>2076.7599999999998</v>
      </c>
      <c r="G10" s="141">
        <f>SUM('5th'!B11+'5th'!C11+'5th'!F11+'5th'!G11+'5th'!H11-'5th'!I11)</f>
        <v>1719.02</v>
      </c>
      <c r="H10" s="141">
        <f>SUM('6th'!B11+'6th'!C11+'6th'!F11+'6th'!G11+'6th'!H11-'6th'!I11)</f>
        <v>2297.1</v>
      </c>
      <c r="I10" s="141">
        <f>SUM('7th'!B11+'7th'!C11+'7th'!F11+'7th'!G11+'7th'!H11-'7th'!I11)</f>
        <v>2178.2700000000004</v>
      </c>
      <c r="J10" s="141">
        <f>SUM('8th'!B11+'8th'!C11+'8th'!F11+'8th'!G11+'8th'!H11-'8th'!I11)</f>
        <v>1994.52</v>
      </c>
      <c r="K10" s="141">
        <f>SUM('9th'!B11+'9th'!C11+'9th'!F11+'9th'!G11+'9th'!H11-'9th'!I11)</f>
        <v>0</v>
      </c>
      <c r="L10" s="141">
        <f>SUM('10th'!B11+'10th'!C11+'10th'!F11+'10th'!G11+'10th'!H11-'10th'!I11)</f>
        <v>0</v>
      </c>
      <c r="M10" s="141">
        <f>SUM('11th'!B11+'11th'!C11+'11th'!F11+'11th'!G11+'11th'!H11-'11th'!I11)</f>
        <v>1854.46</v>
      </c>
      <c r="N10" s="141">
        <f>SUM('12th'!B11+'12th'!C11+'12th'!F11+'12th'!G11+'12th'!H11-'12th'!I11)</f>
        <v>2035.38</v>
      </c>
      <c r="O10" s="141">
        <f>SUM('13th'!B11+'13th'!C11+'13th'!F11+'13th'!G11+'13th'!H11-'13th'!I11)</f>
        <v>2505.75</v>
      </c>
      <c r="P10" s="141">
        <f>SUM('14th'!B11+'14th'!C11+'14th'!F11+'14th'!G11+'14th'!H11-'14th'!I11)</f>
        <v>2406.1499999999996</v>
      </c>
      <c r="Q10" s="141">
        <f>SUM('15th'!B11+'15th'!C11+'15th'!F11+'15th'!G11+'15th'!H11-'15th'!I11)</f>
        <v>0</v>
      </c>
      <c r="R10" s="141">
        <f>SUM('16th'!B11+'16th'!C11+'16th'!F11+'16th'!G11+'16th'!H11-'16th'!I11)</f>
        <v>0</v>
      </c>
      <c r="S10" s="141">
        <f>SUM('17th'!B11+'17th'!C11+'17th'!F11+'17th'!G11+'17th'!H11-'17th'!I11)</f>
        <v>0</v>
      </c>
      <c r="T10" s="141">
        <f>SUM('18th'!B11+'18th'!C11+'18th'!F11+'18th'!G11+'18th'!H11-'18th'!I11)</f>
        <v>0</v>
      </c>
      <c r="U10" s="141">
        <f>SUM('19th'!B11+'19th'!C11+'19th'!F11+'19th'!G11+'19th'!H11-'19th'!I11)</f>
        <v>0</v>
      </c>
      <c r="V10" s="141">
        <f>SUM('20th'!B11+'20th'!C11+'20th'!F11+'20th'!G11+'20th'!H11-'20th'!I11)</f>
        <v>0</v>
      </c>
      <c r="W10" s="141">
        <f>SUM('21st'!B11+'21st'!C11+'21st'!F11+'21st'!G11+'21st'!H11-'21st'!I11)</f>
        <v>0</v>
      </c>
      <c r="X10" s="141">
        <f>SUM('22nd'!B11+'22nd'!C11+'22nd'!F11+'22nd'!G11+'22nd'!H11-'22nd'!I11)</f>
        <v>0</v>
      </c>
      <c r="Y10" s="141">
        <f>SUM('23rd'!B11+'23rd'!C11+'23rd'!F11+'23rd'!G11+'23rd'!H11-'23rd'!I11)</f>
        <v>0</v>
      </c>
      <c r="Z10" s="141">
        <f>SUM('24th'!B11+'24th'!C11+'24th'!F11+'24th'!G11+'24th'!H11-'24th'!I11)</f>
        <v>0</v>
      </c>
      <c r="AA10" s="141">
        <f>SUM('25th'!B11+'25th'!C11+'25th'!F11+'25th'!G11+'25th'!H11-'25th'!I11)</f>
        <v>0</v>
      </c>
      <c r="AB10" s="141">
        <f>SUM('26th'!B11+'26th'!C11+'26th'!F11+'26th'!G11+'26th'!H11-'26th'!I11)</f>
        <v>0</v>
      </c>
      <c r="AC10" s="141">
        <f>SUM('27th'!B11+'27th'!C11+'27th'!F11+'27th'!G11+'27th'!H11-'27th'!I11)</f>
        <v>0</v>
      </c>
      <c r="AD10" s="141">
        <f>SUM('28th'!B11+'28th'!C11+'28th'!F11+'28th'!G11+'28th'!H11-'28th'!I11)</f>
        <v>0</v>
      </c>
      <c r="AE10" s="141">
        <f>SUM('29th'!B11+'29th'!C11+'29th'!F11+'29th'!G11+'29th'!H11-'29th'!I11)</f>
        <v>0</v>
      </c>
      <c r="AF10" s="141">
        <f>SUM('30th'!B11+'30th'!C11+'30th'!F11+'30th'!G11+'30th'!H11-'30th'!I11)</f>
        <v>0</v>
      </c>
      <c r="AG10" s="141">
        <f>SUM('31st'!B11+'31st'!C11+'31st'!F11+'31st'!G11+'31st'!H11-'31st'!I11)</f>
        <v>0</v>
      </c>
    </row>
    <row r="11" spans="1:33" s="154" customFormat="1" ht="26.25" customHeight="1">
      <c r="A11" s="545" t="s">
        <v>85</v>
      </c>
      <c r="B11" s="634">
        <f t="shared" si="1"/>
        <v>0</v>
      </c>
      <c r="C11" s="614">
        <f>SUM('1st'!B12+'1st'!C12+'1st'!F12+'1st'!G12+'1st'!H12-'1st'!I12)</f>
        <v>0</v>
      </c>
      <c r="D11" s="141">
        <f>SUM('2nd'!B12+'2nd'!C12+'2nd'!F12+'2nd'!G12+'2nd'!H12-'2nd'!I12)</f>
        <v>0</v>
      </c>
      <c r="E11" s="141">
        <f>SUM('3rd'!B12+'3rd'!C12+'3rd'!F12+'3rd'!G12+'3rd'!H12-'3rd'!I12)</f>
        <v>0</v>
      </c>
      <c r="F11" s="141">
        <f>SUM('4th'!B12+'4th'!C12+'4th'!F12+'4th'!G12+'4th'!H12-'4th'!I12)</f>
        <v>0</v>
      </c>
      <c r="G11" s="141">
        <f>SUM('5th'!B12+'5th'!C12+'5th'!F12+'5th'!G12+'5th'!H12-'5th'!I12)</f>
        <v>0</v>
      </c>
      <c r="H11" s="141">
        <f>SUM('6th'!B12+'6th'!C12+'6th'!F12+'6th'!G12+'6th'!H12-'6th'!I12)</f>
        <v>0</v>
      </c>
      <c r="I11" s="141">
        <f>SUM('7th'!B12+'7th'!C12+'7th'!F12+'7th'!G12+'7th'!H12-'7th'!I12)</f>
        <v>0</v>
      </c>
      <c r="J11" s="141">
        <f>SUM('8th'!B12+'8th'!C12+'8th'!F12+'8th'!G12+'8th'!H12-'8th'!I12)</f>
        <v>0</v>
      </c>
      <c r="K11" s="141">
        <f>SUM('9th'!B12+'9th'!C12+'9th'!F12+'9th'!G12+'9th'!H12-'9th'!I12)</f>
        <v>0</v>
      </c>
      <c r="L11" s="141">
        <f>SUM('10th'!B12+'10th'!C12+'10th'!F12+'10th'!G12+'10th'!H12-'10th'!I12)</f>
        <v>0</v>
      </c>
      <c r="M11" s="141">
        <f>SUM('11th'!B12+'11th'!C12+'11th'!F12+'11th'!G12+'11th'!H12-'11th'!I12)</f>
        <v>0</v>
      </c>
      <c r="N11" s="141">
        <f>SUM('12th'!B12+'12th'!C12+'12th'!F12+'12th'!G12+'12th'!H12-'12th'!I12)</f>
        <v>0</v>
      </c>
      <c r="O11" s="141">
        <f>SUM('13th'!B12+'13th'!C12+'13th'!F12+'13th'!G12+'13th'!H12-'13th'!I12)</f>
        <v>0</v>
      </c>
      <c r="P11" s="141">
        <f>SUM('14th'!B12+'14th'!C12+'14th'!F12+'14th'!G12+'14th'!H12-'14th'!I12)</f>
        <v>0</v>
      </c>
      <c r="Q11" s="141">
        <f>SUM('15th'!B12+'15th'!C12+'15th'!F12+'15th'!G12+'15th'!H12-'15th'!I12)</f>
        <v>0</v>
      </c>
      <c r="R11" s="141">
        <f>SUM('16th'!B12+'16th'!C12+'16th'!F12+'16th'!G12+'16th'!H12-'16th'!I12)</f>
        <v>0</v>
      </c>
      <c r="S11" s="141">
        <f>SUM('17th'!B12+'17th'!C12+'17th'!F12+'17th'!G12+'17th'!H12-'17th'!I12)</f>
        <v>0</v>
      </c>
      <c r="T11" s="141">
        <f>SUM('18th'!B12+'18th'!C12+'18th'!F12+'18th'!G12+'18th'!H12-'18th'!I12)</f>
        <v>0</v>
      </c>
      <c r="U11" s="141">
        <f>SUM('19th'!B12+'19th'!C12+'19th'!F12+'19th'!G12+'19th'!H12-'19th'!I12)</f>
        <v>0</v>
      </c>
      <c r="V11" s="141">
        <f>SUM('20th'!B12+'20th'!C12+'20th'!F12+'20th'!G12+'20th'!H12-'20th'!I12)</f>
        <v>0</v>
      </c>
      <c r="W11" s="141">
        <f>SUM('21st'!B12+'21st'!C12+'21st'!F12+'21st'!G12+'21st'!H12-'21st'!I12)</f>
        <v>0</v>
      </c>
      <c r="X11" s="141">
        <f>SUM('22nd'!B12+'22nd'!C12+'22nd'!F12+'22nd'!G12+'22nd'!H12-'22nd'!I12)</f>
        <v>0</v>
      </c>
      <c r="Y11" s="141">
        <f>SUM('23rd'!B12+'23rd'!C12+'23rd'!F12+'23rd'!G12+'23rd'!H12-'23rd'!I12)</f>
        <v>0</v>
      </c>
      <c r="Z11" s="141">
        <f>SUM('24th'!B12+'24th'!C12+'24th'!F12+'24th'!G12+'24th'!H12-'24th'!I12)</f>
        <v>0</v>
      </c>
      <c r="AA11" s="141">
        <f>SUM('25th'!B12+'25th'!C12+'25th'!F12+'25th'!G12+'25th'!H12-'25th'!I12)</f>
        <v>0</v>
      </c>
      <c r="AB11" s="141">
        <f>SUM('26th'!B12+'26th'!C12+'26th'!F12+'26th'!G12+'26th'!H12-'26th'!I12)</f>
        <v>0</v>
      </c>
      <c r="AC11" s="141">
        <f>SUM('27th'!B12+'27th'!C12+'27th'!F12+'27th'!G12+'27th'!H12-'27th'!I12)</f>
        <v>0</v>
      </c>
      <c r="AD11" s="141">
        <f>SUM('28th'!B12+'28th'!C12+'28th'!F12+'28th'!G12+'28th'!H12-'28th'!I12)</f>
        <v>0</v>
      </c>
      <c r="AE11" s="141">
        <f>SUM('29th'!B12+'29th'!C12+'29th'!F12+'29th'!G12+'29th'!H12-'29th'!I12)</f>
        <v>0</v>
      </c>
      <c r="AF11" s="141">
        <f>SUM('30th'!B12+'30th'!C12+'30th'!F12+'30th'!G12+'30th'!H12-'30th'!I12)</f>
        <v>0</v>
      </c>
      <c r="AG11" s="141">
        <f>SUM('31st'!B12+'31st'!C12+'31st'!F12+'31st'!G12+'31st'!H12-'31st'!I12)</f>
        <v>0</v>
      </c>
    </row>
    <row r="12" spans="1:33" ht="26.25" customHeight="1">
      <c r="A12" s="545" t="s">
        <v>86</v>
      </c>
      <c r="B12" s="634">
        <f t="shared" si="1"/>
        <v>7702.6100000000015</v>
      </c>
      <c r="C12" s="614">
        <f>SUM('1st'!B13+'1st'!C13+'1st'!F13+'1st'!G13+'1st'!H13-'1st'!I13)</f>
        <v>804.81000000000017</v>
      </c>
      <c r="D12" s="141">
        <f>SUM('2nd'!B13+'2nd'!C13+'2nd'!F13+'2nd'!G13+'2nd'!H13-'2nd'!I13)</f>
        <v>0</v>
      </c>
      <c r="E12" s="141">
        <f>SUM('3rd'!B13+'3rd'!C13+'3rd'!F13+'3rd'!G13+'3rd'!H13-'3rd'!I13)</f>
        <v>0</v>
      </c>
      <c r="F12" s="141">
        <f>SUM('4th'!B13+'4th'!C13+'4th'!F13+'4th'!G13+'4th'!H13-'4th'!I13)</f>
        <v>545.54</v>
      </c>
      <c r="G12" s="141">
        <f>SUM('5th'!B13+'5th'!C13+'5th'!F13+'5th'!G13+'5th'!H13-'5th'!I13)</f>
        <v>600.65</v>
      </c>
      <c r="H12" s="141">
        <f>SUM('6th'!B13+'6th'!C13+'6th'!F13+'6th'!G13+'6th'!H13-'6th'!I13)</f>
        <v>722.06000000000006</v>
      </c>
      <c r="I12" s="141">
        <f>SUM('7th'!B13+'7th'!C13+'7th'!F13+'7th'!G13+'7th'!H13-'7th'!I13)</f>
        <v>716.05</v>
      </c>
      <c r="J12" s="141">
        <f>SUM('8th'!B13+'8th'!C13+'8th'!F13+'8th'!G13+'8th'!H13-'8th'!I13)</f>
        <v>828.43</v>
      </c>
      <c r="K12" s="141">
        <f>SUM('9th'!B13+'9th'!C13+'9th'!F13+'9th'!G13+'9th'!H13-'9th'!I13)</f>
        <v>0</v>
      </c>
      <c r="L12" s="141">
        <f>SUM('10th'!B13+'10th'!C13+'10th'!F13+'10th'!G13+'10th'!H13-'10th'!I13)</f>
        <v>0</v>
      </c>
      <c r="M12" s="141">
        <f>SUM('11th'!B13+'11th'!C13+'11th'!F13+'11th'!G13+'11th'!H13-'11th'!I13)</f>
        <v>642.39</v>
      </c>
      <c r="N12" s="141">
        <f>SUM('12th'!B13+'12th'!C13+'12th'!F13+'12th'!G13+'12th'!H13-'12th'!I13)</f>
        <v>846.52</v>
      </c>
      <c r="O12" s="141">
        <f>SUM('13th'!B13+'13th'!C13+'13th'!F13+'13th'!G13+'13th'!H13-'13th'!I13)</f>
        <v>1004.85</v>
      </c>
      <c r="P12" s="141">
        <f>SUM('14th'!B13+'14th'!C13+'14th'!F13+'14th'!G13+'14th'!H13-'14th'!I13)</f>
        <v>991.31000000000017</v>
      </c>
      <c r="Q12" s="141">
        <f>SUM('15th'!B13+'15th'!C13+'15th'!F13+'15th'!G13+'15th'!H13-'15th'!I13)</f>
        <v>0</v>
      </c>
      <c r="R12" s="141">
        <f>SUM('16th'!B13+'16th'!C13+'16th'!F13+'16th'!G13+'16th'!H13-'16th'!I13)</f>
        <v>0</v>
      </c>
      <c r="S12" s="141">
        <f>SUM('17th'!B13+'17th'!C13+'17th'!F13+'17th'!G13+'17th'!H13-'17th'!I13)</f>
        <v>0</v>
      </c>
      <c r="T12" s="141">
        <f>SUM('18th'!B13+'18th'!C13+'18th'!F13+'18th'!G13+'18th'!H13-'18th'!I13)</f>
        <v>0</v>
      </c>
      <c r="U12" s="141">
        <f>SUM('19th'!B13+'19th'!C13+'19th'!F13+'19th'!G13+'19th'!H13-'19th'!I13)</f>
        <v>0</v>
      </c>
      <c r="V12" s="141">
        <f>SUM('20th'!B13+'20th'!C13+'20th'!F13+'20th'!G13+'20th'!H13-'20th'!I13)</f>
        <v>0</v>
      </c>
      <c r="W12" s="141">
        <f>SUM('21st'!B13+'21st'!C13+'21st'!F13+'21st'!G13+'21st'!H13-'21st'!I13)</f>
        <v>0</v>
      </c>
      <c r="X12" s="141">
        <f>SUM('22nd'!B13+'22nd'!C13+'22nd'!F13+'22nd'!G13+'22nd'!H13-'22nd'!I13)</f>
        <v>0</v>
      </c>
      <c r="Y12" s="141">
        <f>SUM('23rd'!B13+'23rd'!C13+'23rd'!F13+'23rd'!G13+'23rd'!H13-'23rd'!I13)</f>
        <v>0</v>
      </c>
      <c r="Z12" s="141">
        <f>SUM('24th'!B13+'24th'!C13+'24th'!F13+'24th'!G13+'24th'!H13-'24th'!I13)</f>
        <v>0</v>
      </c>
      <c r="AA12" s="141">
        <f>SUM('25th'!B13+'25th'!C13+'25th'!F13+'25th'!G13+'25th'!H13-'25th'!I13)</f>
        <v>0</v>
      </c>
      <c r="AB12" s="141">
        <f>SUM('26th'!B13+'26th'!C13+'26th'!F13+'26th'!G13+'26th'!H13-'26th'!I13)</f>
        <v>0</v>
      </c>
      <c r="AC12" s="141">
        <f>SUM('27th'!B13+'27th'!C13+'27th'!F13+'27th'!G13+'27th'!H13-'27th'!I13)</f>
        <v>0</v>
      </c>
      <c r="AD12" s="141">
        <f>SUM('28th'!B13+'28th'!C13+'28th'!F13+'28th'!G13+'28th'!H13-'28th'!I13)</f>
        <v>0</v>
      </c>
      <c r="AE12" s="141">
        <f>SUM('29th'!B13+'29th'!C13+'29th'!F13+'29th'!G13+'29th'!H13-'29th'!I13)</f>
        <v>0</v>
      </c>
      <c r="AF12" s="141">
        <f>SUM('30th'!B13+'30th'!C13+'30th'!F13+'30th'!G13+'30th'!H13-'30th'!I13)</f>
        <v>0</v>
      </c>
      <c r="AG12" s="141">
        <f>SUM('31st'!B13+'31st'!C13+'31st'!F13+'31st'!G13+'31st'!H13-'31st'!I13)</f>
        <v>0</v>
      </c>
    </row>
    <row r="13" spans="1:33" s="154" customFormat="1" ht="26.25" customHeight="1">
      <c r="A13" s="545" t="s">
        <v>87</v>
      </c>
      <c r="B13" s="634" t="e">
        <f t="shared" si="1"/>
        <v>#VALUE!</v>
      </c>
      <c r="C13" s="614">
        <f>SUM('1st'!B14+'1st'!C14+'1st'!F14+'1st'!G14+'1st'!H14-'1st'!I14)</f>
        <v>1336.17</v>
      </c>
      <c r="D13" s="141">
        <f>SUM('2nd'!B14+'2nd'!C14+'2nd'!F14+'2nd'!G14+'2nd'!H14-'2nd'!I14)</f>
        <v>667.7</v>
      </c>
      <c r="E13" s="141">
        <f>SUM('3rd'!B14+'3rd'!C14+'3rd'!F14+'3rd'!G14+'3rd'!H14-'3rd'!I14)</f>
        <v>505.7</v>
      </c>
      <c r="F13" s="141">
        <f>SUM('4th'!B14+'4th'!C14+'4th'!F14+'4th'!G14+'4th'!H14-'4th'!I14)</f>
        <v>1362.6100000000001</v>
      </c>
      <c r="G13" s="141">
        <f>SUM('5th'!B14+'5th'!C14+'5th'!F14+'5th'!G14+'5th'!H14-'5th'!I14)</f>
        <v>1277.71</v>
      </c>
      <c r="H13" s="141">
        <f>SUM('6th'!B14+'6th'!C14+'6th'!F14+'6th'!G14+'6th'!H14-'6th'!I14)</f>
        <v>1407.12</v>
      </c>
      <c r="I13" s="141">
        <f>SUM('7th'!B14+'7th'!C14+'7th'!F14+'7th'!G14+'7th'!H14-'7th'!I14)</f>
        <v>1270.7</v>
      </c>
      <c r="J13" s="141">
        <f>SUM('8th'!B14+'8th'!C14+'8th'!F14+'8th'!G14+'8th'!H14-'8th'!I14)</f>
        <v>1283.06</v>
      </c>
      <c r="K13" s="141">
        <f>SUM('9th'!B14+'9th'!C14+'9th'!F14+'9th'!G14+'9th'!H14-'9th'!I14)</f>
        <v>593.03000000000009</v>
      </c>
      <c r="L13" s="141">
        <f>SUM('10th'!B14+'10th'!C14+'10th'!F14+'10th'!G14+'10th'!H14-'10th'!I14)</f>
        <v>789.18</v>
      </c>
      <c r="M13" s="141">
        <f>SUM('11th'!B14+'11th'!C14+'11th'!F14+'11th'!G14+'11th'!H14-'11th'!I14)</f>
        <v>1327</v>
      </c>
      <c r="N13" s="141" t="e">
        <f>SUM('12th'!B14+'12th'!C14+'12th'!F14+'12th'!G14+'12th'!H14-'12th'!I14)</f>
        <v>#VALUE!</v>
      </c>
      <c r="O13" s="141">
        <f>SUM('13th'!B14+'13th'!C14+'13th'!F14+'13th'!G14+'13th'!H14-'13th'!I14)</f>
        <v>1227.8800000000001</v>
      </c>
      <c r="P13" s="141">
        <f>SUM('14th'!B14+'14th'!C14+'14th'!F14+'14th'!G14+'14th'!H14-'14th'!I14)</f>
        <v>1793.26</v>
      </c>
      <c r="Q13" s="141">
        <f>SUM('15th'!B14+'15th'!C14+'15th'!F14+'15th'!G14+'15th'!H14-'15th'!I14)</f>
        <v>0</v>
      </c>
      <c r="R13" s="141">
        <f>SUM('16th'!B14+'16th'!C14+'16th'!F14+'16th'!G14+'16th'!H14-'16th'!I14)</f>
        <v>0</v>
      </c>
      <c r="S13" s="141">
        <f>SUM('17th'!B14+'17th'!C14+'17th'!F14+'17th'!G14+'17th'!H14-'17th'!I14)</f>
        <v>0</v>
      </c>
      <c r="T13" s="141">
        <f>SUM('18th'!B14+'18th'!C14+'18th'!F14+'18th'!G14+'18th'!H14-'18th'!I14)</f>
        <v>0</v>
      </c>
      <c r="U13" s="141">
        <f>SUM('19th'!B14+'19th'!C14+'19th'!F14+'19th'!G14+'19th'!H14-'19th'!I14)</f>
        <v>0</v>
      </c>
      <c r="V13" s="141">
        <f>SUM('20th'!B14+'20th'!C14+'20th'!F14+'20th'!G14+'20th'!H14-'20th'!I14)</f>
        <v>0</v>
      </c>
      <c r="W13" s="141">
        <f>SUM('21st'!B14+'21st'!C14+'21st'!F14+'21st'!G14+'21st'!H14-'21st'!I14)</f>
        <v>0</v>
      </c>
      <c r="X13" s="141">
        <f>SUM('22nd'!B14+'22nd'!C14+'22nd'!F14+'22nd'!G14+'22nd'!H14-'22nd'!I14)</f>
        <v>0</v>
      </c>
      <c r="Y13" s="141">
        <f>SUM('23rd'!B14+'23rd'!C14+'23rd'!F14+'23rd'!G14+'23rd'!H14-'23rd'!I14)</f>
        <v>0</v>
      </c>
      <c r="Z13" s="141">
        <f>SUM('24th'!B14+'24th'!C14+'24th'!F14+'24th'!G14+'24th'!H14-'24th'!I14)</f>
        <v>0</v>
      </c>
      <c r="AA13" s="141">
        <f>SUM('25th'!B14+'25th'!C14+'25th'!F14+'25th'!G14+'25th'!H14-'25th'!I14)</f>
        <v>0</v>
      </c>
      <c r="AB13" s="141">
        <f>SUM('26th'!B14+'26th'!C14+'26th'!F14+'26th'!G14+'26th'!H14-'26th'!I14)</f>
        <v>0</v>
      </c>
      <c r="AC13" s="141">
        <f>SUM('27th'!B14+'27th'!C14+'27th'!F14+'27th'!G14+'27th'!H14-'27th'!I14)</f>
        <v>0</v>
      </c>
      <c r="AD13" s="141">
        <f>SUM('28th'!B14+'28th'!C14+'28th'!F14+'28th'!G14+'28th'!H14-'28th'!I14)</f>
        <v>0</v>
      </c>
      <c r="AE13" s="141">
        <f>SUM('29th'!B14+'29th'!C14+'29th'!F14+'29th'!G14+'29th'!H14-'29th'!I14)</f>
        <v>0</v>
      </c>
      <c r="AF13" s="141">
        <f>SUM('30th'!B14+'30th'!C14+'30th'!F14+'30th'!G14+'30th'!H14-'30th'!I14)</f>
        <v>0</v>
      </c>
      <c r="AG13" s="141">
        <f>SUM('31st'!B14+'31st'!C14+'31st'!F14+'31st'!G14+'31st'!H14-'31st'!I14)</f>
        <v>0</v>
      </c>
    </row>
    <row r="14" spans="1:33" ht="26.25" customHeight="1">
      <c r="A14" s="545" t="s">
        <v>88</v>
      </c>
      <c r="B14" s="634">
        <f t="shared" si="1"/>
        <v>11354.369999999999</v>
      </c>
      <c r="C14" s="614">
        <f>SUM('1st'!B15+'1st'!C15+'1st'!F15+'1st'!G15+'1st'!H15-'1st'!I15)</f>
        <v>823.6</v>
      </c>
      <c r="D14" s="141">
        <f>SUM('2nd'!B15+'2nd'!C15+'2nd'!F15+'2nd'!G15+'2nd'!H15-'2nd'!I15)</f>
        <v>0</v>
      </c>
      <c r="E14" s="141">
        <f>SUM('3rd'!B15+'3rd'!C15+'3rd'!F15+'3rd'!G15+'3rd'!H15-'3rd'!I15)</f>
        <v>0</v>
      </c>
      <c r="F14" s="141">
        <f>SUM('4th'!B15+'4th'!C15+'4th'!F15+'4th'!G15+'4th'!H15-'4th'!I15)</f>
        <v>1087.8</v>
      </c>
      <c r="G14" s="141">
        <f>SUM('5th'!B15+'5th'!C15+'5th'!F15+'5th'!G15+'5th'!H15-'5th'!I15)</f>
        <v>1141.0300000000002</v>
      </c>
      <c r="H14" s="141">
        <f>SUM('6th'!B15+'6th'!C15+'6th'!F15+'6th'!G15+'6th'!H15-'6th'!I15)</f>
        <v>886.06999999999994</v>
      </c>
      <c r="I14" s="141">
        <f>SUM('7th'!B15+'7th'!C15+'7th'!F15+'7th'!G15+'7th'!H15-'7th'!I15)</f>
        <v>1284.0999999999999</v>
      </c>
      <c r="J14" s="141">
        <f>SUM('8th'!B15+'8th'!C15+'8th'!F15+'8th'!G15+'8th'!H15-'8th'!I15)</f>
        <v>885.86</v>
      </c>
      <c r="K14" s="141">
        <f>SUM('9th'!B15+'9th'!C15+'9th'!F15+'9th'!G15+'9th'!H15-'9th'!I15)</f>
        <v>0</v>
      </c>
      <c r="L14" s="141">
        <f>SUM('10th'!B15+'10th'!C15+'10th'!F15+'10th'!G15+'10th'!H15-'10th'!I15)</f>
        <v>376.61</v>
      </c>
      <c r="M14" s="141">
        <f>SUM('11th'!B15+'11th'!C15+'11th'!F15+'11th'!G15+'11th'!H15-'11th'!I15)</f>
        <v>765.37</v>
      </c>
      <c r="N14" s="141">
        <f>SUM('12th'!B15+'12th'!C15+'12th'!F15+'12th'!G15+'12th'!H15-'12th'!I15)</f>
        <v>1113.2599999999998</v>
      </c>
      <c r="O14" s="141">
        <f>SUM('13th'!B15+'13th'!C15+'13th'!F15+'13th'!G15+'13th'!H15-'13th'!I15)</f>
        <v>1250.8300000000002</v>
      </c>
      <c r="P14" s="141">
        <f>SUM('14th'!B15+'14th'!C15+'14th'!F15+'14th'!G15+'14th'!H15-'14th'!I15)</f>
        <v>1739.84</v>
      </c>
      <c r="Q14" s="141">
        <f>SUM('15th'!B15+'15th'!C15+'15th'!F15+'15th'!G15+'15th'!H15-'15th'!I15)</f>
        <v>0</v>
      </c>
      <c r="R14" s="141">
        <f>SUM('16th'!B15+'16th'!C15+'16th'!F15+'16th'!G15+'16th'!H15-'16th'!I15)</f>
        <v>0</v>
      </c>
      <c r="S14" s="141">
        <f>SUM('17th'!B15+'17th'!C15+'17th'!F15+'17th'!G15+'17th'!H15-'17th'!I15)</f>
        <v>0</v>
      </c>
      <c r="T14" s="141">
        <f>SUM('18th'!B15+'18th'!C15+'18th'!F15+'18th'!G15+'18th'!H15-'18th'!I15)</f>
        <v>0</v>
      </c>
      <c r="U14" s="141">
        <f>SUM('19th'!B15+'19th'!C15+'19th'!F15+'19th'!G15+'19th'!H15-'19th'!I15)</f>
        <v>0</v>
      </c>
      <c r="V14" s="141">
        <f>SUM('20th'!B15+'20th'!C15+'20th'!F15+'20th'!G15+'20th'!H15-'20th'!I15)</f>
        <v>0</v>
      </c>
      <c r="W14" s="141">
        <f>SUM('21st'!B15+'21st'!C15+'21st'!F15+'21st'!G15+'21st'!H15-'21st'!I15)</f>
        <v>0</v>
      </c>
      <c r="X14" s="141">
        <f>SUM('22nd'!B15+'22nd'!C15+'22nd'!F15+'22nd'!G15+'22nd'!H15-'22nd'!I15)</f>
        <v>0</v>
      </c>
      <c r="Y14" s="141">
        <f>SUM('23rd'!B15+'23rd'!C15+'23rd'!F15+'23rd'!G15+'23rd'!H15-'23rd'!I15)</f>
        <v>0</v>
      </c>
      <c r="Z14" s="141">
        <f>SUM('24th'!B15+'24th'!C15+'24th'!F15+'24th'!G15+'24th'!H15-'24th'!I15)</f>
        <v>0</v>
      </c>
      <c r="AA14" s="141">
        <f>SUM('25th'!B15+'25th'!C15+'25th'!F15+'25th'!G15+'25th'!H15-'25th'!I15)</f>
        <v>0</v>
      </c>
      <c r="AB14" s="141">
        <f>SUM('26th'!B15+'26th'!C15+'26th'!F15+'26th'!G15+'26th'!H15-'26th'!I15)</f>
        <v>0</v>
      </c>
      <c r="AC14" s="141">
        <f>SUM('27th'!B15+'27th'!C15+'27th'!F15+'27th'!G15+'27th'!H15-'27th'!I15)</f>
        <v>0</v>
      </c>
      <c r="AD14" s="141">
        <f>SUM('28th'!B15+'28th'!C15+'28th'!F15+'28th'!G15+'28th'!H15-'28th'!I15)</f>
        <v>0</v>
      </c>
      <c r="AE14" s="141">
        <f>SUM('29th'!B15+'29th'!C15+'29th'!F15+'29th'!G15+'29th'!H15-'29th'!I15)</f>
        <v>0</v>
      </c>
      <c r="AF14" s="141">
        <f>SUM('30th'!B15+'30th'!C15+'30th'!F15+'30th'!G15+'30th'!H15-'30th'!I15)</f>
        <v>0</v>
      </c>
      <c r="AG14" s="141">
        <f>SUM('31st'!B15+'31st'!C15+'31st'!F15+'31st'!G15+'31st'!H15-'31st'!I15)</f>
        <v>0</v>
      </c>
    </row>
    <row r="15" spans="1:33" s="154" customFormat="1" ht="26.25" customHeight="1">
      <c r="A15" s="545" t="s">
        <v>107</v>
      </c>
      <c r="B15" s="634">
        <f t="shared" si="1"/>
        <v>72643.588999999993</v>
      </c>
      <c r="C15" s="614">
        <f>SUM('1st'!B16+'1st'!C16+'1st'!F16+'1st'!G16+'1st'!H16-'1st'!I16)</f>
        <v>6009.08</v>
      </c>
      <c r="D15" s="141">
        <f>SUM('2nd'!B16+'2nd'!C16+'2nd'!F16+'2nd'!G16+'2nd'!H16-'2nd'!I16)</f>
        <v>3300.4</v>
      </c>
      <c r="E15" s="141">
        <f>SUM('3rd'!B16+'3rd'!C16+'3rd'!F16+'3rd'!G16+'3rd'!H16-'3rd'!I16)</f>
        <v>2793.5989999999997</v>
      </c>
      <c r="F15" s="141">
        <f>SUM('4th'!B16+'4th'!C16+'4th'!F16+'4th'!G16+'4th'!H16-'4th'!I16)</f>
        <v>5544.63</v>
      </c>
      <c r="G15" s="141">
        <f>SUM('5th'!B16+'5th'!C16+'5th'!F16+'5th'!G16+'5th'!H16-'5th'!I16)</f>
        <v>5349.02</v>
      </c>
      <c r="H15" s="141">
        <f>SUM('6th'!B16+'6th'!C16+'6th'!F16+'6th'!G16+'6th'!H16-'6th'!I16)</f>
        <v>6582.98</v>
      </c>
      <c r="I15" s="141">
        <f>SUM('7th'!B16+'7th'!C16+'7th'!F16+'7th'!G16+'7th'!H16-'7th'!I16)</f>
        <v>6823.54</v>
      </c>
      <c r="J15" s="141">
        <f>SUM('8th'!B16+'8th'!C16+'8th'!F16+'8th'!G16+'8th'!H16-'8th'!I16)</f>
        <v>6208.08</v>
      </c>
      <c r="K15" s="141">
        <f>SUM('9th'!B16+'9th'!C16+'9th'!F16+'9th'!G16+'9th'!H16-'9th'!I16)</f>
        <v>2915.44</v>
      </c>
      <c r="L15" s="141">
        <f>SUM('10th'!B16+'10th'!C16+'10th'!F16+'10th'!G16+'10th'!H16-'10th'!I16)</f>
        <v>2376.7099999999996</v>
      </c>
      <c r="M15" s="141">
        <f>SUM('11th'!B16+'11th'!C16+'11th'!F16+'11th'!G16+'11th'!H16-'11th'!I16)</f>
        <v>5873.33</v>
      </c>
      <c r="N15" s="141">
        <f>SUM('12th'!B16+'12th'!C16+'12th'!F16+'12th'!G16+'12th'!H16-'12th'!I16)</f>
        <v>5875.45</v>
      </c>
      <c r="O15" s="141">
        <f>SUM('13th'!B16+'13th'!C16+'13th'!F16+'13th'!G16+'13th'!H16-'13th'!I16)</f>
        <v>6211.7900000000009</v>
      </c>
      <c r="P15" s="141">
        <f>SUM('14th'!B16+'14th'!C16+'14th'!F16+'14th'!G16+'14th'!H16-'14th'!I16)</f>
        <v>6779.54</v>
      </c>
      <c r="Q15" s="141">
        <f>SUM('15th'!B16+'15th'!C16+'15th'!F16+'15th'!G16+'15th'!H16-'15th'!I16)</f>
        <v>0</v>
      </c>
      <c r="R15" s="141">
        <f>SUM('16th'!B16+'16th'!C16+'16th'!F16+'16th'!G16+'16th'!H16-'16th'!I16)</f>
        <v>0</v>
      </c>
      <c r="S15" s="141">
        <f>SUM('17th'!B16+'17th'!C16+'17th'!F16+'17th'!G16+'17th'!H16-'17th'!I16)</f>
        <v>0</v>
      </c>
      <c r="T15" s="141">
        <f>SUM('18th'!B16+'18th'!C16+'18th'!F16+'18th'!G16+'18th'!H16-'18th'!I16)</f>
        <v>0</v>
      </c>
      <c r="U15" s="141">
        <f>SUM('19th'!B16+'19th'!C16+'19th'!F16+'19th'!G16+'19th'!H16-'19th'!I16)</f>
        <v>0</v>
      </c>
      <c r="V15" s="141">
        <f>SUM('20th'!B16+'20th'!C16+'20th'!F16+'20th'!G16+'20th'!H16-'20th'!I16)</f>
        <v>0</v>
      </c>
      <c r="W15" s="141">
        <f>SUM('21st'!B16+'21st'!C16+'21st'!F16+'21st'!G16+'21st'!H16-'21st'!I16)</f>
        <v>0</v>
      </c>
      <c r="X15" s="141">
        <f>SUM('22nd'!B16+'22nd'!C16+'22nd'!F16+'22nd'!G16+'22nd'!H16-'22nd'!I16)</f>
        <v>0</v>
      </c>
      <c r="Y15" s="141">
        <f>SUM('23rd'!B16+'23rd'!C16+'23rd'!F16+'23rd'!G16+'23rd'!H16-'23rd'!I16)</f>
        <v>0</v>
      </c>
      <c r="Z15" s="141">
        <f>SUM('24th'!B16+'24th'!C16+'24th'!F16+'24th'!G16+'24th'!H16-'24th'!I16)</f>
        <v>0</v>
      </c>
      <c r="AA15" s="141">
        <f>SUM('25th'!B16+'25th'!C16+'25th'!F16+'25th'!G16+'25th'!H16-'25th'!I16)</f>
        <v>0</v>
      </c>
      <c r="AB15" s="141">
        <f>SUM('26th'!B16+'26th'!C16+'26th'!F16+'26th'!G16+'26th'!H16-'26th'!I16)</f>
        <v>0</v>
      </c>
      <c r="AC15" s="141">
        <f>SUM('27th'!B16+'27th'!C16+'27th'!F16+'27th'!G16+'27th'!H16-'27th'!I16)</f>
        <v>0</v>
      </c>
      <c r="AD15" s="141">
        <f>SUM('28th'!B16+'28th'!C16+'28th'!F16+'28th'!G16+'28th'!H16-'28th'!I16)</f>
        <v>0</v>
      </c>
      <c r="AE15" s="141">
        <f>SUM('29th'!B16+'29th'!C16+'29th'!F16+'29th'!G16+'29th'!H16-'29th'!I16)</f>
        <v>0</v>
      </c>
      <c r="AF15" s="141">
        <f>SUM('30th'!B16+'30th'!C16+'30th'!F16+'30th'!G16+'30th'!H16-'30th'!I16)</f>
        <v>0</v>
      </c>
      <c r="AG15" s="141">
        <f>SUM('31st'!B16+'31st'!C16+'31st'!F16+'31st'!G16+'31st'!H16-'31st'!I16)</f>
        <v>0</v>
      </c>
    </row>
    <row r="16" spans="1:33" s="154" customFormat="1" ht="26.25" customHeight="1" thickBot="1">
      <c r="A16" s="636" t="s">
        <v>89</v>
      </c>
      <c r="B16" s="646">
        <f t="shared" si="1"/>
        <v>10605.279999999999</v>
      </c>
      <c r="C16" s="616">
        <f>SUM('1st'!B17+'1st'!C17+'1st'!F17+'1st'!G17+'1st'!H17-'1st'!I17)</f>
        <v>696.41</v>
      </c>
      <c r="D16" s="617">
        <f>SUM('2nd'!B17+'2nd'!C17+'2nd'!F17+'2nd'!G17+'2nd'!H17-'2nd'!I17)</f>
        <v>0</v>
      </c>
      <c r="E16" s="617">
        <f>SUM('3rd'!B17+'3rd'!C17+'3rd'!F17+'3rd'!G17+'3rd'!H17-'3rd'!I17)</f>
        <v>0</v>
      </c>
      <c r="F16" s="617">
        <f>SUM('4th'!B17+'4th'!C17+'4th'!F17+'4th'!G17+'4th'!H17-'4th'!I17)</f>
        <v>982.38</v>
      </c>
      <c r="G16" s="617">
        <f>SUM('5th'!B17+'5th'!C17+'5th'!F17+'5th'!G17+'5th'!H17-'5th'!I17)</f>
        <v>1003.76</v>
      </c>
      <c r="H16" s="617">
        <f>SUM('6th'!B17+'6th'!C17+'6th'!F17+'6th'!G17+'6th'!H17-'6th'!I17)</f>
        <v>1333.88</v>
      </c>
      <c r="I16" s="617">
        <f>SUM('7th'!B17+'7th'!C17+'7th'!F17+'7th'!G17+'7th'!H17-'7th'!I17)</f>
        <v>1141.07</v>
      </c>
      <c r="J16" s="617">
        <f>SUM('8th'!B17+'8th'!C17+'8th'!F17+'8th'!G17+'8th'!H17-'8th'!I17)</f>
        <v>966.11</v>
      </c>
      <c r="K16" s="617">
        <f>SUM('9th'!B17+'9th'!C17+'9th'!F17+'9th'!G17+'9th'!H17-'9th'!I17)</f>
        <v>0</v>
      </c>
      <c r="L16" s="617">
        <f>SUM('10th'!B17+'10th'!C17+'10th'!F17+'10th'!G17+'10th'!H17-'10th'!I17)</f>
        <v>0</v>
      </c>
      <c r="M16" s="617">
        <f>SUM('11th'!B17+'11th'!C17+'11th'!F17+'11th'!G17+'11th'!H17-'11th'!I17)</f>
        <v>698.11</v>
      </c>
      <c r="N16" s="617">
        <f>SUM('12th'!B17+'12th'!C17+'12th'!F17+'12th'!G17+'12th'!H17-'12th'!I17)</f>
        <v>974.2299999999999</v>
      </c>
      <c r="O16" s="617">
        <f>SUM('13th'!B17+'13th'!C17+'13th'!F17+'13th'!G17+'13th'!H17-'13th'!I17)</f>
        <v>1480.9900000000002</v>
      </c>
      <c r="P16" s="617">
        <f>SUM('14th'!B17+'14th'!C17+'14th'!F17+'14th'!G17+'14th'!H17-'14th'!I17)</f>
        <v>1328.34</v>
      </c>
      <c r="Q16" s="617">
        <f>SUM('15th'!B17+'15th'!C17+'15th'!F17+'15th'!G17+'15th'!H17-'15th'!I17)</f>
        <v>0</v>
      </c>
      <c r="R16" s="617">
        <f>SUM('16th'!B17+'16th'!C17+'16th'!F17+'16th'!G17+'16th'!H17-'16th'!I17)</f>
        <v>0</v>
      </c>
      <c r="S16" s="617">
        <f>SUM('17th'!B17+'17th'!C17+'17th'!F17+'17th'!G17+'17th'!H17-'17th'!I17)</f>
        <v>0</v>
      </c>
      <c r="T16" s="617">
        <f>SUM('18th'!B17+'18th'!C17+'18th'!F17+'18th'!G17+'18th'!H17-'18th'!I17)</f>
        <v>0</v>
      </c>
      <c r="U16" s="617">
        <f>SUM('19th'!B17+'19th'!C17+'19th'!F17+'19th'!G17+'19th'!H17-'19th'!I17)</f>
        <v>0</v>
      </c>
      <c r="V16" s="617">
        <f>SUM('20th'!B17+'20th'!C17+'20th'!F17+'20th'!G17+'20th'!H17-'20th'!I17)</f>
        <v>0</v>
      </c>
      <c r="W16" s="617">
        <f>SUM('21st'!B17+'21st'!C17+'21st'!F17+'21st'!G17+'21st'!H17-'21st'!I17)</f>
        <v>0</v>
      </c>
      <c r="X16" s="617">
        <f>SUM('22nd'!B17+'22nd'!C17+'22nd'!F17+'22nd'!G17+'22nd'!H17-'22nd'!I17)</f>
        <v>0</v>
      </c>
      <c r="Y16" s="617">
        <f>SUM('23rd'!B17+'23rd'!C17+'23rd'!F17+'23rd'!G17+'23rd'!H17-'23rd'!I17)</f>
        <v>0</v>
      </c>
      <c r="Z16" s="617">
        <f>SUM('24th'!B17+'24th'!C17+'24th'!F17+'24th'!G17+'24th'!H17-'24th'!I17)</f>
        <v>0</v>
      </c>
      <c r="AA16" s="617">
        <f>SUM('25th'!B17+'25th'!C17+'25th'!F17+'25th'!G17+'25th'!H17-'25th'!I17)</f>
        <v>0</v>
      </c>
      <c r="AB16" s="617">
        <f>SUM('26th'!B17+'26th'!C17+'26th'!F17+'26th'!G17+'26th'!H17-'26th'!I17)</f>
        <v>0</v>
      </c>
      <c r="AC16" s="617">
        <f>SUM('27th'!B17+'27th'!C17+'27th'!F17+'27th'!G17+'27th'!H17-'27th'!I17)</f>
        <v>0</v>
      </c>
      <c r="AD16" s="617">
        <f>SUM('28th'!B17+'28th'!C17+'28th'!F17+'28th'!G17+'28th'!H17-'28th'!I17)</f>
        <v>0</v>
      </c>
      <c r="AE16" s="617">
        <f>SUM('29th'!B17+'29th'!C17+'29th'!F17+'29th'!G17+'29th'!H17-'29th'!I17)</f>
        <v>0</v>
      </c>
      <c r="AF16" s="617">
        <f>SUM('30th'!B17+'30th'!C17+'30th'!F17+'30th'!G17+'30th'!H17-'30th'!I17)</f>
        <v>0</v>
      </c>
      <c r="AG16" s="617">
        <f>SUM('31st'!B17+'31st'!C17+'31st'!F17+'31st'!G17+'31st'!H17-'31st'!I17)</f>
        <v>0</v>
      </c>
    </row>
    <row r="17" spans="1:33" ht="26.25" customHeight="1" thickBot="1">
      <c r="A17" s="652" t="s">
        <v>151</v>
      </c>
      <c r="B17" s="648">
        <f t="shared" si="1"/>
        <v>212017.58899999998</v>
      </c>
      <c r="C17" s="643">
        <f>SUM('1st'!B18+'1st'!C18+'1st'!F18+'1st'!G18+'1st'!H18-'1st'!I18)</f>
        <v>16896.510000000002</v>
      </c>
      <c r="D17" s="644">
        <f>SUM('2nd'!B18+'2nd'!C18+'2nd'!F18+'2nd'!G18+'2nd'!H18-'2nd'!I18)</f>
        <v>8063.35</v>
      </c>
      <c r="E17" s="644">
        <f>SUM('3rd'!B18+'3rd'!C18+'3rd'!F18+'3rd'!G18+'3rd'!H18-'3rd'!I18)</f>
        <v>6633.2090000000007</v>
      </c>
      <c r="F17" s="644">
        <f>SUM('4th'!B18+'4th'!C18+'4th'!F18+'4th'!G18+'4th'!H18-'4th'!I18)</f>
        <v>17977.48</v>
      </c>
      <c r="G17" s="644">
        <f>SUM('5th'!B18+'5th'!C18+'5th'!F18+'5th'!G18+'5th'!H18-'5th'!I18)</f>
        <v>16297.879999999997</v>
      </c>
      <c r="H17" s="644">
        <f>SUM('6th'!B18+'6th'!C18+'6th'!F18+'6th'!G18+'6th'!H18-'6th'!I18)</f>
        <v>19241.8</v>
      </c>
      <c r="I17" s="644">
        <f>SUM('7th'!B18+'7th'!C18+'7th'!F18+'7th'!G18+'7th'!H18-'7th'!I18)</f>
        <v>19404.649999999998</v>
      </c>
      <c r="J17" s="644">
        <f>SUM('8th'!B18+'8th'!C18+'8th'!F18+'8th'!G18+'8th'!H18-'8th'!I18)</f>
        <v>17930.609999999997</v>
      </c>
      <c r="K17" s="644">
        <f>SUM('9th'!B18+'9th'!C18+'9th'!F18+'9th'!G18+'9th'!H18-'9th'!I18)</f>
        <v>7244.5899999999992</v>
      </c>
      <c r="L17" s="644">
        <f>SUM('10th'!B18+'10th'!C18+'10th'!F18+'10th'!G18+'10th'!H18-'10th'!I18)</f>
        <v>6999.13</v>
      </c>
      <c r="M17" s="644">
        <f>SUM('11th'!B18+'11th'!C18+'11th'!F18+'11th'!G18+'11th'!H18-'11th'!I18)</f>
        <v>16895.269999999997</v>
      </c>
      <c r="N17" s="644">
        <f>SUM('12th'!B18+'12th'!C18+'12th'!F18+'12th'!G18+'12th'!H18-'12th'!I18)</f>
        <v>17611.61</v>
      </c>
      <c r="O17" s="644">
        <f>SUM('13th'!B18+'13th'!C18+'13th'!F18+'13th'!G18+'13th'!H18-'13th'!I18)</f>
        <v>19292.129999999997</v>
      </c>
      <c r="P17" s="644">
        <f>SUM('14th'!B18+'14th'!C18+'14th'!F18+'14th'!G18+'14th'!H18-'14th'!I18)</f>
        <v>21529.37</v>
      </c>
      <c r="Q17" s="644">
        <f>SUM('15th'!B18+'15th'!C18+'15th'!F18+'15th'!G18+'15th'!H18-'15th'!I18)</f>
        <v>0</v>
      </c>
      <c r="R17" s="644">
        <f>SUM('16th'!B18+'16th'!C18+'16th'!F18+'16th'!G18+'16th'!H18-'16th'!I18)</f>
        <v>0</v>
      </c>
      <c r="S17" s="644">
        <f>SUM('17th'!B18+'17th'!C18+'17th'!F18+'17th'!G18+'17th'!H18-'17th'!I18)</f>
        <v>0</v>
      </c>
      <c r="T17" s="644">
        <f>SUM('18th'!B18+'18th'!C18+'18th'!F18+'18th'!G18+'18th'!H18-'18th'!I18)</f>
        <v>0</v>
      </c>
      <c r="U17" s="644">
        <f>SUM('19th'!B18+'19th'!C18+'19th'!F18+'19th'!G18+'19th'!H18-'19th'!I18)</f>
        <v>0</v>
      </c>
      <c r="V17" s="644">
        <f>SUM('20th'!B18+'20th'!C18+'20th'!F18+'20th'!G18+'20th'!H18-'20th'!I18)</f>
        <v>0</v>
      </c>
      <c r="W17" s="644">
        <f>SUM('21st'!B18+'21st'!C18+'21st'!F18+'21st'!G18+'21st'!H18-'21st'!I18)</f>
        <v>0</v>
      </c>
      <c r="X17" s="644">
        <f>SUM('22nd'!B18+'22nd'!C18+'22nd'!F18+'22nd'!G18+'22nd'!H18-'22nd'!I18)</f>
        <v>0</v>
      </c>
      <c r="Y17" s="644">
        <f>SUM('23rd'!B18+'23rd'!C18+'23rd'!F18+'23rd'!G18+'23rd'!H18-'23rd'!I18)</f>
        <v>0</v>
      </c>
      <c r="Z17" s="644">
        <f>SUM('24th'!B18+'24th'!C18+'24th'!F18+'24th'!G18+'24th'!H18-'24th'!I18)</f>
        <v>0</v>
      </c>
      <c r="AA17" s="644">
        <f>SUM('25th'!B18+'25th'!C18+'25th'!F18+'25th'!G18+'25th'!H18-'25th'!I18)</f>
        <v>0</v>
      </c>
      <c r="AB17" s="644">
        <f>SUM('26th'!B18+'26th'!C18+'26th'!F18+'26th'!G18+'26th'!H18-'26th'!I18)</f>
        <v>0</v>
      </c>
      <c r="AC17" s="644">
        <f>SUM('27th'!B18+'27th'!C18+'27th'!F18+'27th'!G18+'27th'!H18-'27th'!I18)</f>
        <v>0</v>
      </c>
      <c r="AD17" s="644">
        <f>SUM('28th'!B18+'28th'!C18+'28th'!F18+'28th'!G18+'28th'!H18-'28th'!I18)</f>
        <v>0</v>
      </c>
      <c r="AE17" s="644">
        <f>SUM('29th'!B18+'29th'!C18+'29th'!F18+'29th'!G18+'29th'!H18-'29th'!I18)</f>
        <v>0</v>
      </c>
      <c r="AF17" s="644">
        <f>SUM('30th'!B18+'30th'!C18+'30th'!F18+'30th'!G18+'30th'!H18-'30th'!I18)</f>
        <v>0</v>
      </c>
      <c r="AG17" s="645">
        <f>SUM('31st'!B18+'31st'!C18+'31st'!F18+'31st'!G18+'31st'!H18-'31st'!I18)</f>
        <v>0</v>
      </c>
    </row>
    <row r="18" spans="1:33" ht="26.25" customHeight="1" thickBot="1">
      <c r="A18" s="637" t="s">
        <v>155</v>
      </c>
      <c r="B18" s="648">
        <f t="shared" si="1"/>
        <v>0</v>
      </c>
      <c r="C18" s="620">
        <f>SUM('1st'!B19+'1st'!C19+'1st'!F19+'1st'!G19+'1st'!H19-'1st'!I19)</f>
        <v>0</v>
      </c>
      <c r="D18" s="621">
        <f>SUM('2nd'!B19+'2nd'!C19+'2nd'!F19+'2nd'!G19+'2nd'!H19-'2nd'!I19)</f>
        <v>0</v>
      </c>
      <c r="E18" s="621">
        <f>SUM('3rd'!B19+'3rd'!C19+'3rd'!F19+'3rd'!G19+'3rd'!H19-'3rd'!I19)</f>
        <v>0</v>
      </c>
      <c r="F18" s="621">
        <f>SUM('4th'!B19+'4th'!C19+'4th'!F19+'4th'!G19+'4th'!H19-'4th'!I19)</f>
        <v>0</v>
      </c>
      <c r="G18" s="621">
        <f>SUM('5th'!B19+'5th'!C19+'5th'!F19+'5th'!G19+'5th'!H19-'5th'!I19)</f>
        <v>0</v>
      </c>
      <c r="H18" s="621">
        <f>SUM('6th'!B19+'6th'!C19+'6th'!F19+'6th'!G19+'6th'!H19-'6th'!I19)</f>
        <v>0</v>
      </c>
      <c r="I18" s="621">
        <f>SUM('7th'!B19+'7th'!C19+'7th'!F19+'7th'!G19+'7th'!H19-'7th'!I19)</f>
        <v>0</v>
      </c>
      <c r="J18" s="621">
        <f>SUM('8th'!B19+'8th'!C19+'8th'!F19+'8th'!G19+'8th'!H19-'8th'!I19)</f>
        <v>0</v>
      </c>
      <c r="K18" s="621">
        <f>SUM('9th'!B19+'9th'!C19+'9th'!F19+'9th'!G19+'9th'!H19-'9th'!I19)</f>
        <v>0</v>
      </c>
      <c r="L18" s="621">
        <f>SUM('10th'!B19+'10th'!C19+'10th'!F19+'10th'!G19+'10th'!H19-'10th'!I19)</f>
        <v>0</v>
      </c>
      <c r="M18" s="621">
        <f>SUM('11th'!B19+'11th'!C19+'11th'!F19+'11th'!G19+'11th'!H19-'11th'!I19)</f>
        <v>0</v>
      </c>
      <c r="N18" s="621">
        <f>SUM('12th'!B19+'12th'!C19+'12th'!F19+'12th'!G19+'12th'!H19-'12th'!I19)</f>
        <v>0</v>
      </c>
      <c r="O18" s="621">
        <f>SUM('13th'!B19+'13th'!C19+'13th'!F19+'13th'!G19+'13th'!H19-'13th'!I19)</f>
        <v>0</v>
      </c>
      <c r="P18" s="621">
        <f>SUM('14th'!B19+'14th'!C19+'14th'!F19+'14th'!G19+'14th'!H19-'14th'!I19)</f>
        <v>0</v>
      </c>
      <c r="Q18" s="621">
        <f>SUM('15th'!B19+'15th'!C19+'15th'!F19+'15th'!G19+'15th'!H19-'15th'!I19)</f>
        <v>0</v>
      </c>
      <c r="R18" s="621">
        <f>SUM('16th'!B19+'16th'!C19+'16th'!F19+'16th'!G19+'16th'!H19-'16th'!I19)</f>
        <v>0</v>
      </c>
      <c r="S18" s="621">
        <f>SUM('17th'!B19+'17th'!C19+'17th'!F19+'17th'!G19+'17th'!H19-'17th'!I19)</f>
        <v>0</v>
      </c>
      <c r="T18" s="621">
        <f>SUM('18th'!B19+'18th'!C19+'18th'!F19+'18th'!G19+'18th'!H19-'18th'!I19)</f>
        <v>0</v>
      </c>
      <c r="U18" s="621">
        <f>SUM('19th'!B19+'19th'!C19+'19th'!F19+'19th'!G19+'19th'!H19-'19th'!I19)</f>
        <v>0</v>
      </c>
      <c r="V18" s="621">
        <f>SUM('20th'!B19+'20th'!C19+'20th'!F19+'20th'!G19+'20th'!H19-'20th'!I19)</f>
        <v>0</v>
      </c>
      <c r="W18" s="621">
        <f>SUM('21st'!B19+'21st'!C19+'21st'!F19+'21st'!G19+'21st'!H19-'21st'!I19)</f>
        <v>0</v>
      </c>
      <c r="X18" s="621">
        <f>SUM('22nd'!B19+'22nd'!C19+'22nd'!F19+'22nd'!G19+'22nd'!H19-'22nd'!I19)</f>
        <v>0</v>
      </c>
      <c r="Y18" s="621">
        <f>SUM('23rd'!B19+'23rd'!C19+'23rd'!F19+'23rd'!G19+'23rd'!H19-'23rd'!I19)</f>
        <v>0</v>
      </c>
      <c r="Z18" s="621">
        <f>SUM('24th'!B19+'24th'!C19+'24th'!F19+'24th'!G19+'24th'!H19-'24th'!I19)</f>
        <v>0</v>
      </c>
      <c r="AA18" s="621">
        <f>SUM('25th'!B19+'25th'!C19+'25th'!F19+'25th'!G19+'25th'!H19-'25th'!I19)</f>
        <v>0</v>
      </c>
      <c r="AB18" s="621">
        <f>SUM('26th'!B19+'26th'!C19+'26th'!F19+'26th'!G19+'26th'!H19-'26th'!I19)</f>
        <v>0</v>
      </c>
      <c r="AC18" s="621">
        <f>SUM('27th'!B19+'27th'!C19+'27th'!F19+'27th'!G19+'27th'!H19-'27th'!I19)</f>
        <v>0</v>
      </c>
      <c r="AD18" s="621">
        <f>SUM('28th'!B19+'28th'!C19+'28th'!F19+'28th'!G19+'28th'!H19-'28th'!I19)</f>
        <v>0</v>
      </c>
      <c r="AE18" s="621">
        <f>SUM('29th'!B19+'29th'!C19+'29th'!F19+'29th'!G19+'29th'!H19-'29th'!I19)</f>
        <v>0</v>
      </c>
      <c r="AF18" s="621">
        <f>SUM('30th'!B19+'30th'!C19+'30th'!F19+'30th'!G19+'30th'!H19-'30th'!I19)</f>
        <v>0</v>
      </c>
      <c r="AG18" s="622">
        <f>SUM('31st'!B19+'31st'!C19+'31st'!F19+'31st'!G19+'31st'!H19-'31st'!I19)</f>
        <v>0</v>
      </c>
    </row>
    <row r="19" spans="1:33" ht="26.25" customHeight="1">
      <c r="A19" s="638" t="s">
        <v>136</v>
      </c>
      <c r="B19" s="647">
        <f t="shared" si="1"/>
        <v>0</v>
      </c>
      <c r="C19" s="618">
        <f>SUM('1st'!B20+'1st'!C20+'1st'!F20+'1st'!G20+'1st'!H20-'1st'!I20)</f>
        <v>0</v>
      </c>
      <c r="D19" s="619">
        <f>SUM('2nd'!B20+'2nd'!C20+'2nd'!F20+'2nd'!G20+'2nd'!H20-'2nd'!I20)</f>
        <v>0</v>
      </c>
      <c r="E19" s="619">
        <f>SUM('3rd'!B20+'3rd'!C20+'3rd'!F20+'3rd'!G20+'3rd'!H20-'3rd'!I20)</f>
        <v>0</v>
      </c>
      <c r="F19" s="619">
        <f>SUM('4th'!B20+'4th'!C20+'4th'!F20+'4th'!G20+'4th'!H20-'4th'!I20)</f>
        <v>0</v>
      </c>
      <c r="G19" s="619">
        <f>SUM('5th'!B20+'5th'!C20+'5th'!F20+'5th'!G20+'5th'!H20-'5th'!I20)</f>
        <v>0</v>
      </c>
      <c r="H19" s="619">
        <f>SUM('6th'!B20+'6th'!C20+'6th'!F20+'6th'!G20+'6th'!H20-'6th'!I20)</f>
        <v>0</v>
      </c>
      <c r="I19" s="619">
        <f>SUM('7th'!B20+'7th'!C20+'7th'!F20+'7th'!G20+'7th'!H20-'7th'!I20)</f>
        <v>0</v>
      </c>
      <c r="J19" s="619">
        <f>SUM('8th'!B20+'8th'!C20+'8th'!F20+'8th'!G20+'8th'!H20-'8th'!I20)</f>
        <v>0</v>
      </c>
      <c r="K19" s="619">
        <f>SUM('9th'!B20+'9th'!C20+'9th'!F20+'9th'!G20+'9th'!H20-'9th'!I20)</f>
        <v>0</v>
      </c>
      <c r="L19" s="619">
        <f>SUM('10th'!B20+'10th'!C20+'10th'!F20+'10th'!G20+'10th'!H20-'10th'!I20)</f>
        <v>0</v>
      </c>
      <c r="M19" s="619">
        <f>SUM('11th'!B20+'11th'!C20+'11th'!F20+'11th'!G20+'11th'!H20-'11th'!I20)</f>
        <v>0</v>
      </c>
      <c r="N19" s="619">
        <f>SUM('12th'!B20+'12th'!C20+'12th'!F20+'12th'!G20+'12th'!H20-'12th'!I20)</f>
        <v>0</v>
      </c>
      <c r="O19" s="619">
        <f>SUM('13th'!B20+'13th'!C20+'13th'!F20+'13th'!G20+'13th'!H20-'13th'!I20)</f>
        <v>0</v>
      </c>
      <c r="P19" s="619">
        <f>SUM('14th'!B20+'14th'!C20+'14th'!F20+'14th'!G20+'14th'!H20-'14th'!I20)</f>
        <v>0</v>
      </c>
      <c r="Q19" s="619">
        <f>SUM('15th'!B20+'15th'!C20+'15th'!F20+'15th'!G20+'15th'!H20-'15th'!I20)</f>
        <v>0</v>
      </c>
      <c r="R19" s="619">
        <f>SUM('16th'!B20+'16th'!C20+'16th'!F20+'16th'!G20+'16th'!H20-'16th'!I20)</f>
        <v>0</v>
      </c>
      <c r="S19" s="619">
        <f>SUM('17th'!B20+'17th'!C20+'17th'!F20+'17th'!G20+'17th'!H20-'17th'!I20)</f>
        <v>0</v>
      </c>
      <c r="T19" s="619">
        <f>SUM('18th'!B20+'18th'!C20+'18th'!F20+'18th'!G20+'18th'!H20-'18th'!I20)</f>
        <v>0</v>
      </c>
      <c r="U19" s="619">
        <f>SUM('19th'!B20+'19th'!C20+'19th'!F20+'19th'!G20+'19th'!H20-'19th'!I20)</f>
        <v>0</v>
      </c>
      <c r="V19" s="619">
        <f>SUM('20th'!B20+'20th'!C20+'20th'!F20+'20th'!G20+'20th'!H20-'20th'!I20)</f>
        <v>0</v>
      </c>
      <c r="W19" s="619">
        <f>SUM('21st'!B20+'21st'!C20+'21st'!F20+'21st'!G20+'21st'!H20-'21st'!I20)</f>
        <v>0</v>
      </c>
      <c r="X19" s="619">
        <f>SUM('22nd'!B20+'22nd'!C20+'22nd'!F20+'22nd'!G20+'22nd'!H20-'22nd'!I20)</f>
        <v>0</v>
      </c>
      <c r="Y19" s="619">
        <f>SUM('23rd'!B20+'23rd'!C20+'23rd'!F20+'23rd'!G20+'23rd'!H20-'23rd'!I20)</f>
        <v>0</v>
      </c>
      <c r="Z19" s="619">
        <f>SUM('24th'!B20+'24th'!C20+'24th'!F20+'24th'!G20+'24th'!H20-'24th'!I20)</f>
        <v>0</v>
      </c>
      <c r="AA19" s="619">
        <f>SUM('25th'!B20+'25th'!C20+'25th'!F20+'25th'!G20+'25th'!H20-'25th'!I20)</f>
        <v>0</v>
      </c>
      <c r="AB19" s="619">
        <f>SUM('26th'!B20+'26th'!C20+'26th'!F20+'26th'!G20+'26th'!H20-'26th'!I20)</f>
        <v>0</v>
      </c>
      <c r="AC19" s="619">
        <f>SUM('27th'!B20+'27th'!C20+'27th'!F20+'27th'!G20+'27th'!H20-'27th'!I20)</f>
        <v>0</v>
      </c>
      <c r="AD19" s="619">
        <f>SUM('28th'!B20+'28th'!C20+'28th'!F20+'28th'!G20+'28th'!H20-'28th'!I20)</f>
        <v>0</v>
      </c>
      <c r="AE19" s="619">
        <f>SUM('29th'!B20+'29th'!C20+'29th'!F20+'29th'!G20+'29th'!H20-'29th'!I20)</f>
        <v>0</v>
      </c>
      <c r="AF19" s="619">
        <f>SUM('30th'!B20+'30th'!C20+'30th'!F20+'30th'!G20+'30th'!H20-'30th'!I20)</f>
        <v>0</v>
      </c>
      <c r="AG19" s="619">
        <f>SUM('31st'!B20+'31st'!C20+'31st'!F20+'31st'!G20+'31st'!H20-'31st'!I20)</f>
        <v>0</v>
      </c>
    </row>
    <row r="20" spans="1:33" ht="26.25" customHeight="1">
      <c r="A20" s="546" t="s">
        <v>137</v>
      </c>
      <c r="B20" s="634">
        <f t="shared" si="1"/>
        <v>0</v>
      </c>
      <c r="C20" s="614">
        <f>SUM('1st'!B21+'1st'!C21+'1st'!F21+'1st'!G21+'1st'!H21-'1st'!I21)</f>
        <v>0</v>
      </c>
      <c r="D20" s="141">
        <f>SUM('2nd'!B21+'2nd'!C21+'2nd'!F21+'2nd'!G21+'2nd'!H21-'2nd'!I21)</f>
        <v>0</v>
      </c>
      <c r="E20" s="141">
        <f>SUM('3rd'!B21+'3rd'!C21+'3rd'!F21+'3rd'!G21+'3rd'!H21-'3rd'!I21)</f>
        <v>0</v>
      </c>
      <c r="F20" s="141">
        <f>SUM('4th'!B21+'4th'!C21+'4th'!F21+'4th'!G21+'4th'!H21-'4th'!I21)</f>
        <v>0</v>
      </c>
      <c r="G20" s="141">
        <f>SUM('5th'!B21+'5th'!C21+'5th'!F21+'5th'!G21+'5th'!H21-'5th'!I21)</f>
        <v>0</v>
      </c>
      <c r="H20" s="141">
        <f>SUM('6th'!B21+'6th'!C21+'6th'!F21+'6th'!G21+'6th'!H21-'6th'!I21)</f>
        <v>0</v>
      </c>
      <c r="I20" s="141">
        <f>SUM('7th'!B21+'7th'!C21+'7th'!F21+'7th'!G21+'7th'!H21-'7th'!I21)</f>
        <v>0</v>
      </c>
      <c r="J20" s="141">
        <f>SUM('8th'!B21+'8th'!C21+'8th'!F21+'8th'!G21+'8th'!H21-'8th'!I21)</f>
        <v>0</v>
      </c>
      <c r="K20" s="141">
        <f>SUM('9th'!B21+'9th'!C21+'9th'!F21+'9th'!G21+'9th'!H21-'9th'!I21)</f>
        <v>0</v>
      </c>
      <c r="L20" s="141">
        <f>SUM('10th'!B21+'10th'!C21+'10th'!F21+'10th'!G21+'10th'!H21-'10th'!I21)</f>
        <v>0</v>
      </c>
      <c r="M20" s="141">
        <f>SUM('11th'!B21+'11th'!C21+'11th'!F21+'11th'!G21+'11th'!H21-'11th'!I21)</f>
        <v>0</v>
      </c>
      <c r="N20" s="141">
        <f>SUM('12th'!B21+'12th'!C21+'12th'!F21+'12th'!G21+'12th'!H21-'12th'!I21)</f>
        <v>0</v>
      </c>
      <c r="O20" s="141">
        <f>SUM('13th'!B21+'13th'!C21+'13th'!F21+'13th'!G21+'13th'!H21-'13th'!I21)</f>
        <v>0</v>
      </c>
      <c r="P20" s="141">
        <f>SUM('14th'!B21+'14th'!C21+'14th'!F21+'14th'!G21+'14th'!H21-'14th'!I21)</f>
        <v>0</v>
      </c>
      <c r="Q20" s="141">
        <f>SUM('15th'!B21+'15th'!C21+'15th'!F21+'15th'!G21+'15th'!H21-'15th'!I21)</f>
        <v>0</v>
      </c>
      <c r="R20" s="141">
        <f>SUM('16th'!B21+'16th'!C21+'16th'!F21+'16th'!G21+'16th'!H21-'16th'!I21)</f>
        <v>0</v>
      </c>
      <c r="S20" s="141">
        <f>SUM('17th'!B21+'17th'!C21+'17th'!F21+'17th'!G21+'17th'!H21-'17th'!I21)</f>
        <v>0</v>
      </c>
      <c r="T20" s="141">
        <f>SUM('18th'!B21+'18th'!C21+'18th'!F21+'18th'!G21+'18th'!H21-'18th'!I21)</f>
        <v>0</v>
      </c>
      <c r="U20" s="141">
        <f>SUM('19th'!B21+'19th'!C21+'19th'!F21+'19th'!G21+'19th'!H21-'19th'!I21)</f>
        <v>0</v>
      </c>
      <c r="V20" s="141">
        <f>SUM('20th'!B21+'20th'!C21+'20th'!F21+'20th'!G21+'20th'!H21-'20th'!I21)</f>
        <v>0</v>
      </c>
      <c r="W20" s="141">
        <f>SUM('21st'!B21+'21st'!C21+'21st'!F21+'21st'!G21+'21st'!H21-'21st'!I21)</f>
        <v>0</v>
      </c>
      <c r="X20" s="141">
        <f>SUM('22nd'!B21+'22nd'!C21+'22nd'!F21+'22nd'!G21+'22nd'!H21-'22nd'!I21)</f>
        <v>0</v>
      </c>
      <c r="Y20" s="141">
        <f>SUM('23rd'!B21+'23rd'!C21+'23rd'!F21+'23rd'!G21+'23rd'!H21-'23rd'!I21)</f>
        <v>0</v>
      </c>
      <c r="Z20" s="141">
        <f>SUM('24th'!B21+'24th'!C21+'24th'!F21+'24th'!G21+'24th'!H21-'24th'!I21)</f>
        <v>0</v>
      </c>
      <c r="AA20" s="141">
        <f>SUM('25th'!B21+'25th'!C21+'25th'!F21+'25th'!G21+'25th'!H21-'25th'!I21)</f>
        <v>0</v>
      </c>
      <c r="AB20" s="141">
        <f>SUM('26th'!B21+'26th'!C21+'26th'!F21+'26th'!G21+'26th'!H21-'26th'!I21)</f>
        <v>0</v>
      </c>
      <c r="AC20" s="141">
        <f>SUM('27th'!B21+'27th'!C21+'27th'!F21+'27th'!G21+'27th'!H21-'27th'!I21)</f>
        <v>0</v>
      </c>
      <c r="AD20" s="141">
        <f>SUM('28th'!B21+'28th'!C21+'28th'!F21+'28th'!G21+'28th'!H21-'28th'!I21)</f>
        <v>0</v>
      </c>
      <c r="AE20" s="141">
        <f>SUM('29th'!B21+'29th'!C21+'29th'!F21+'29th'!G21+'29th'!H21-'29th'!I21)</f>
        <v>0</v>
      </c>
      <c r="AF20" s="141">
        <f>SUM('30th'!B21+'30th'!C21+'30th'!F21+'30th'!G21+'30th'!H21-'30th'!I21)</f>
        <v>0</v>
      </c>
      <c r="AG20" s="141">
        <f>SUM('31st'!B21+'31st'!C21+'31st'!F21+'31st'!G21+'31st'!H21-'31st'!I21)</f>
        <v>0</v>
      </c>
    </row>
    <row r="21" spans="1:33" ht="26.25" customHeight="1">
      <c r="A21" s="639" t="s">
        <v>90</v>
      </c>
      <c r="B21" s="634">
        <f t="shared" si="1"/>
        <v>0</v>
      </c>
      <c r="C21" s="614">
        <f>SUM('1st'!B22+'1st'!C22+'1st'!F22+'1st'!G22+'1st'!H22-'1st'!I22)</f>
        <v>0</v>
      </c>
      <c r="D21" s="141">
        <f>SUM('2nd'!B22+'2nd'!C22+'2nd'!F22+'2nd'!G22+'2nd'!H22-'2nd'!I22)</f>
        <v>0</v>
      </c>
      <c r="E21" s="141">
        <f>SUM('3rd'!B22+'3rd'!C22+'3rd'!F22+'3rd'!G22+'3rd'!H22-'3rd'!I22)</f>
        <v>0</v>
      </c>
      <c r="F21" s="141">
        <f>SUM('4th'!B22+'4th'!C22+'4th'!F22+'4th'!G22+'4th'!H22-'4th'!I22)</f>
        <v>0</v>
      </c>
      <c r="G21" s="141">
        <f>SUM('5th'!B22+'5th'!C22+'5th'!F22+'5th'!G22+'5th'!H22-'5th'!I22)</f>
        <v>0</v>
      </c>
      <c r="H21" s="141">
        <f>SUM('6th'!B22+'6th'!C22+'6th'!F22+'6th'!G22+'6th'!H22-'6th'!I22)</f>
        <v>0</v>
      </c>
      <c r="I21" s="141">
        <f>SUM('7th'!B22+'7th'!C22+'7th'!F22+'7th'!G22+'7th'!H22-'7th'!I22)</f>
        <v>0</v>
      </c>
      <c r="J21" s="141">
        <f>SUM('8th'!B22+'8th'!C22+'8th'!F22+'8th'!G22+'8th'!H22-'8th'!I22)</f>
        <v>0</v>
      </c>
      <c r="K21" s="141">
        <f>SUM('9th'!B22+'9th'!C22+'9th'!F22+'9th'!G22+'9th'!H22-'9th'!I22)</f>
        <v>0</v>
      </c>
      <c r="L21" s="141">
        <f>SUM('10th'!B22+'10th'!C22+'10th'!F22+'10th'!G22+'10th'!H22-'10th'!I22)</f>
        <v>0</v>
      </c>
      <c r="M21" s="141">
        <f>SUM('11th'!B22+'11th'!C22+'11th'!F22+'11th'!G22+'11th'!H22-'11th'!I22)</f>
        <v>0</v>
      </c>
      <c r="N21" s="141">
        <f>SUM('12th'!B22+'12th'!C22+'12th'!F22+'12th'!G22+'12th'!H22-'12th'!I22)</f>
        <v>0</v>
      </c>
      <c r="O21" s="141">
        <f>SUM('13th'!B22+'13th'!C22+'13th'!F22+'13th'!G22+'13th'!H22-'13th'!I22)</f>
        <v>0</v>
      </c>
      <c r="P21" s="141">
        <f>SUM('14th'!B22+'14th'!C22+'14th'!F22+'14th'!G22+'14th'!H22-'14th'!I22)</f>
        <v>0</v>
      </c>
      <c r="Q21" s="141">
        <f>SUM('15th'!B22+'15th'!C22+'15th'!F22+'15th'!G22+'15th'!H22-'15th'!I22)</f>
        <v>0</v>
      </c>
      <c r="R21" s="141">
        <f>SUM('16th'!B22+'16th'!C22+'16th'!F22+'16th'!G22+'16th'!H22-'16th'!I22)</f>
        <v>0</v>
      </c>
      <c r="S21" s="141">
        <f>SUM('17th'!B22+'17th'!C22+'17th'!F22+'17th'!G22+'17th'!H22-'17th'!I22)</f>
        <v>0</v>
      </c>
      <c r="T21" s="141">
        <f>SUM('18th'!B22+'18th'!C22+'18th'!F22+'18th'!G22+'18th'!H22-'18th'!I22)</f>
        <v>0</v>
      </c>
      <c r="U21" s="141">
        <f>SUM('19th'!B22+'19th'!C22+'19th'!F22+'19th'!G22+'19th'!H22-'19th'!I22)</f>
        <v>0</v>
      </c>
      <c r="V21" s="141">
        <f>SUM('20th'!B22+'20th'!C22+'20th'!F22+'20th'!G22+'20th'!H22-'20th'!I22)</f>
        <v>0</v>
      </c>
      <c r="W21" s="141">
        <f>SUM('21st'!B22+'21st'!C22+'21st'!F22+'21st'!G22+'21st'!H22-'21st'!I22)</f>
        <v>0</v>
      </c>
      <c r="X21" s="141">
        <f>SUM('22nd'!B22+'22nd'!C22+'22nd'!F22+'22nd'!G22+'22nd'!H22-'22nd'!I22)</f>
        <v>0</v>
      </c>
      <c r="Y21" s="141">
        <f>SUM('23rd'!B22+'23rd'!C22+'23rd'!F22+'23rd'!G22+'23rd'!H22-'23rd'!I22)</f>
        <v>0</v>
      </c>
      <c r="Z21" s="141">
        <f>SUM('24th'!B22+'24th'!C22+'24th'!F22+'24th'!G22+'24th'!H22-'24th'!I22)</f>
        <v>0</v>
      </c>
      <c r="AA21" s="141">
        <f>SUM('25th'!B22+'25th'!C22+'25th'!F22+'25th'!G22+'25th'!H22-'25th'!I22)</f>
        <v>0</v>
      </c>
      <c r="AB21" s="141">
        <f>SUM('26th'!B22+'26th'!C22+'26th'!F22+'26th'!G22+'26th'!H22-'26th'!I22)</f>
        <v>0</v>
      </c>
      <c r="AC21" s="141">
        <f>SUM('27th'!B22+'27th'!C22+'27th'!F22+'27th'!G22+'27th'!H22-'27th'!I22)</f>
        <v>0</v>
      </c>
      <c r="AD21" s="141">
        <f>SUM('28th'!B22+'28th'!C22+'28th'!F22+'28th'!G22+'28th'!H22-'28th'!I22)</f>
        <v>0</v>
      </c>
      <c r="AE21" s="141">
        <f>SUM('29th'!B22+'29th'!C22+'29th'!F22+'29th'!G22+'29th'!H22-'29th'!I22)</f>
        <v>0</v>
      </c>
      <c r="AF21" s="141">
        <f>SUM('30th'!B22+'30th'!C22+'30th'!F22+'30th'!G22+'30th'!H22-'30th'!I22)</f>
        <v>0</v>
      </c>
      <c r="AG21" s="141">
        <f>SUM('31st'!B22+'31st'!C22+'31st'!F22+'31st'!G22+'31st'!H22-'31st'!I22)</f>
        <v>0</v>
      </c>
    </row>
    <row r="22" spans="1:33" s="142" customFormat="1" ht="31.5" customHeight="1" thickBot="1">
      <c r="A22" s="640" t="s">
        <v>110</v>
      </c>
      <c r="B22" s="634">
        <f t="shared" ref="B22" si="2">SUM(C22:AG22)</f>
        <v>265435.52899999998</v>
      </c>
      <c r="C22" s="641">
        <f>SUM('1st'!B23+'1st'!C23+'1st'!F23+'1st'!G23+'1st'!H23-'1st'!I23)</f>
        <v>21529.620000000003</v>
      </c>
      <c r="D22" s="642">
        <f>SUM('2nd'!B23+'2nd'!C23+'2nd'!F23+'2nd'!G23+'2nd'!H23-'2nd'!I23)</f>
        <v>8063.35</v>
      </c>
      <c r="E22" s="642">
        <f>SUM('3rd'!B23+'3rd'!C23+'3rd'!F23+'3rd'!G23+'3rd'!H23-'3rd'!I23)</f>
        <v>6633.2090000000007</v>
      </c>
      <c r="F22" s="642">
        <f>SUM('4th'!B23+'4th'!C23+'4th'!F23+'4th'!G23+'4th'!H23-'4th'!I23)</f>
        <v>23112.670000000006</v>
      </c>
      <c r="G22" s="642">
        <f>SUM('5th'!B23+'5th'!C23+'5th'!F23+'5th'!G23+'5th'!H23-'5th'!I23)</f>
        <v>21304.379999999997</v>
      </c>
      <c r="H22" s="642">
        <f>SUM('6th'!B23+'6th'!C23+'6th'!F23+'6th'!G23+'6th'!H23-'6th'!I23)</f>
        <v>25130.53</v>
      </c>
      <c r="I22" s="642">
        <f>SUM('7th'!B23+'7th'!C23+'7th'!F23+'7th'!G23+'7th'!H23-'7th'!I23)</f>
        <v>25371.999999999996</v>
      </c>
      <c r="J22" s="642">
        <f>SUM('8th'!B23+'8th'!C23+'8th'!F23+'8th'!G23+'8th'!H23-'8th'!I23)</f>
        <v>22810.959999999999</v>
      </c>
      <c r="K22" s="642">
        <f>SUM('9th'!B23+'9th'!C23+'9th'!F23+'9th'!G23+'9th'!H23-'9th'!I23)</f>
        <v>7244.5899999999992</v>
      </c>
      <c r="L22" s="642">
        <f>SUM('10th'!B23+'10th'!C23+'10th'!F23+'10th'!G23+'10th'!H23-'10th'!I23)</f>
        <v>6999.13</v>
      </c>
      <c r="M22" s="642">
        <f>SUM('11th'!B23+'11th'!C23+'11th'!F23+'11th'!G23+'11th'!H23-'11th'!I23)</f>
        <v>21937.039999999997</v>
      </c>
      <c r="N22" s="642">
        <f>SUM('12th'!B23+'12th'!C23+'12th'!F23+'12th'!G23+'12th'!H23-'12th'!I23)</f>
        <v>22822.61</v>
      </c>
      <c r="O22" s="642">
        <f>SUM('13th'!B23+'13th'!C23+'13th'!F23+'13th'!G23+'13th'!H23-'13th'!I23)</f>
        <v>24856.870000000003</v>
      </c>
      <c r="P22" s="642">
        <f>SUM('14th'!B23+'14th'!C23+'14th'!F23+'14th'!G23+'14th'!H23-'14th'!I23)</f>
        <v>27618.57</v>
      </c>
      <c r="Q22" s="642">
        <f>SUM('15th'!B23+'15th'!C23+'15th'!F23+'15th'!G23+'15th'!H23-'15th'!I23)</f>
        <v>0</v>
      </c>
      <c r="R22" s="642">
        <f>SUM('16th'!B23+'16th'!C23+'16th'!F23+'16th'!G23+'16th'!H23-'16th'!I23)</f>
        <v>0</v>
      </c>
      <c r="S22" s="642">
        <f>SUM('17th'!B23+'17th'!C23+'17th'!F23+'17th'!G23+'17th'!H23-'17th'!I23)</f>
        <v>0</v>
      </c>
      <c r="T22" s="642">
        <f>SUM('18th'!B23+'18th'!C23+'18th'!F23+'18th'!G23+'18th'!H23-'18th'!I23)</f>
        <v>0</v>
      </c>
      <c r="U22" s="642">
        <f>SUM('19th'!B23+'19th'!C23+'19th'!F23+'19th'!G23+'19th'!H23-'19th'!I23)</f>
        <v>0</v>
      </c>
      <c r="V22" s="642">
        <f>SUM('20th'!B23+'20th'!C23+'20th'!F23+'20th'!G23+'20th'!H23-'20th'!I23)</f>
        <v>0</v>
      </c>
      <c r="W22" s="642">
        <f>SUM('21st'!B23+'21st'!C23+'21st'!F23+'21st'!G23+'21st'!H23-'21st'!I23)</f>
        <v>0</v>
      </c>
      <c r="X22" s="642">
        <f>SUM('22nd'!B23+'22nd'!C23+'22nd'!F23+'22nd'!G23+'22nd'!H23-'22nd'!I23)</f>
        <v>0</v>
      </c>
      <c r="Y22" s="642">
        <f>SUM('23rd'!B23+'23rd'!C23+'23rd'!F23+'23rd'!G23+'23rd'!H23-'23rd'!I23)</f>
        <v>0</v>
      </c>
      <c r="Z22" s="642">
        <f>SUM('24th'!B23+'24th'!C23+'24th'!F23+'24th'!G23+'24th'!H23-'24th'!I23)</f>
        <v>0</v>
      </c>
      <c r="AA22" s="642">
        <f>SUM('25th'!B23+'25th'!C23+'25th'!F23+'25th'!G23+'25th'!H23-'25th'!I23)</f>
        <v>0</v>
      </c>
      <c r="AB22" s="642">
        <f>SUM('26th'!B23+'26th'!C23+'26th'!F23+'26th'!G23+'26th'!H23-'26th'!I23)</f>
        <v>0</v>
      </c>
      <c r="AC22" s="642">
        <f>SUM('27th'!B23+'27th'!C23+'27th'!F23+'27th'!G23+'27th'!H23-'27th'!I23)</f>
        <v>0</v>
      </c>
      <c r="AD22" s="642">
        <f>SUM('28th'!B23+'28th'!C23+'28th'!F23+'28th'!G23+'28th'!H23-'28th'!I23)</f>
        <v>0</v>
      </c>
      <c r="AE22" s="642">
        <f>SUM('29th'!B23+'29th'!C23+'29th'!F23+'29th'!G23+'29th'!H23-'29th'!I23)</f>
        <v>0</v>
      </c>
      <c r="AF22" s="642">
        <f>SUM('30th'!B23+'30th'!C23+'30th'!F23+'30th'!G23+'30th'!H23-'30th'!I23)</f>
        <v>0</v>
      </c>
      <c r="AG22" s="642">
        <f>SUM('31st'!B23+'31st'!C23+'31st'!F23+'31st'!G23+'31st'!H23-'31st'!I23)</f>
        <v>0</v>
      </c>
    </row>
    <row r="36" spans="1:1">
      <c r="A36" s="217" t="s">
        <v>177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R32"/>
  <sheetViews>
    <sheetView zoomScale="75" zoomScaleNormal="75" workbookViewId="0">
      <selection activeCell="C5" sqref="A1:C5"/>
    </sheetView>
  </sheetViews>
  <sheetFormatPr defaultColWidth="9.140625" defaultRowHeight="21" customHeight="1"/>
  <cols>
    <col min="1" max="1" width="32.42578125" style="4" customWidth="1"/>
    <col min="2" max="2" width="13.42578125" style="5" customWidth="1"/>
    <col min="3" max="3" width="7.28515625" style="4" customWidth="1"/>
    <col min="4" max="5" width="14.5703125" style="4" customWidth="1"/>
    <col min="6" max="9" width="9.28515625" style="4" customWidth="1"/>
    <col min="10" max="11" width="9.28515625" style="71" customWidth="1"/>
    <col min="12" max="12" width="9.85546875" style="71" customWidth="1"/>
    <col min="13" max="18" width="9.28515625" style="71" customWidth="1"/>
    <col min="19" max="19" width="10.42578125" style="71" customWidth="1"/>
    <col min="20" max="36" width="9.28515625" style="71" customWidth="1"/>
    <col min="37" max="37" width="39.5703125" style="71" customWidth="1"/>
    <col min="38" max="16384" width="9.140625" style="71"/>
  </cols>
  <sheetData>
    <row r="1" spans="1:252" ht="21" customHeight="1">
      <c r="A1" s="4" t="s">
        <v>24</v>
      </c>
      <c r="B1" s="143" t="s">
        <v>112</v>
      </c>
      <c r="C1" s="144"/>
      <c r="D1" s="145" t="s">
        <v>113</v>
      </c>
      <c r="E1" s="146" t="s">
        <v>25</v>
      </c>
      <c r="F1" s="147">
        <f>SUM('1st'!A2)</f>
        <v>45870</v>
      </c>
      <c r="G1" s="147">
        <f>SUM(F1+1)</f>
        <v>45871</v>
      </c>
      <c r="H1" s="147">
        <f>SUM(G1+1)</f>
        <v>45872</v>
      </c>
      <c r="I1" s="147">
        <f t="shared" ref="I1:AJ1" si="0">SUM(H1+1)</f>
        <v>45873</v>
      </c>
      <c r="J1" s="147">
        <f t="shared" si="0"/>
        <v>45874</v>
      </c>
      <c r="K1" s="147">
        <f t="shared" si="0"/>
        <v>45875</v>
      </c>
      <c r="L1" s="147">
        <f t="shared" si="0"/>
        <v>45876</v>
      </c>
      <c r="M1" s="147">
        <f t="shared" si="0"/>
        <v>45877</v>
      </c>
      <c r="N1" s="147">
        <f t="shared" si="0"/>
        <v>45878</v>
      </c>
      <c r="O1" s="147">
        <f t="shared" si="0"/>
        <v>45879</v>
      </c>
      <c r="P1" s="147">
        <f t="shared" si="0"/>
        <v>45880</v>
      </c>
      <c r="Q1" s="147">
        <f t="shared" si="0"/>
        <v>45881</v>
      </c>
      <c r="R1" s="147">
        <f t="shared" si="0"/>
        <v>45882</v>
      </c>
      <c r="S1" s="147">
        <f t="shared" si="0"/>
        <v>45883</v>
      </c>
      <c r="T1" s="147">
        <f t="shared" si="0"/>
        <v>45884</v>
      </c>
      <c r="U1" s="147">
        <f t="shared" si="0"/>
        <v>45885</v>
      </c>
      <c r="V1" s="147">
        <f t="shared" si="0"/>
        <v>45886</v>
      </c>
      <c r="W1" s="147">
        <f t="shared" si="0"/>
        <v>45887</v>
      </c>
      <c r="X1" s="147">
        <f t="shared" si="0"/>
        <v>45888</v>
      </c>
      <c r="Y1" s="147">
        <f t="shared" si="0"/>
        <v>45889</v>
      </c>
      <c r="Z1" s="147">
        <f t="shared" si="0"/>
        <v>45890</v>
      </c>
      <c r="AA1" s="147">
        <f t="shared" si="0"/>
        <v>45891</v>
      </c>
      <c r="AB1" s="147">
        <f t="shared" si="0"/>
        <v>45892</v>
      </c>
      <c r="AC1" s="147">
        <f t="shared" si="0"/>
        <v>45893</v>
      </c>
      <c r="AD1" s="147">
        <f t="shared" si="0"/>
        <v>45894</v>
      </c>
      <c r="AE1" s="147">
        <f t="shared" si="0"/>
        <v>45895</v>
      </c>
      <c r="AF1" s="147">
        <f t="shared" si="0"/>
        <v>45896</v>
      </c>
      <c r="AG1" s="147">
        <f t="shared" si="0"/>
        <v>45897</v>
      </c>
      <c r="AH1" s="147">
        <f t="shared" si="0"/>
        <v>45898</v>
      </c>
      <c r="AI1" s="147">
        <f t="shared" si="0"/>
        <v>45899</v>
      </c>
      <c r="AJ1" s="147">
        <f t="shared" si="0"/>
        <v>45900</v>
      </c>
    </row>
    <row r="2" spans="1:252" ht="21" customHeight="1" thickBot="1">
      <c r="A2" s="6" t="s">
        <v>111</v>
      </c>
      <c r="B2" s="116"/>
      <c r="C2" s="72"/>
      <c r="D2" s="115"/>
      <c r="E2" s="114" t="s">
        <v>27</v>
      </c>
      <c r="F2" s="191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</row>
    <row r="3" spans="1:252" ht="21" customHeight="1" thickBot="1">
      <c r="A3" s="193" t="s">
        <v>28</v>
      </c>
      <c r="B3" s="190"/>
      <c r="C3" s="186"/>
      <c r="D3" s="186"/>
      <c r="E3" s="186"/>
      <c r="F3" s="198"/>
      <c r="G3" s="199"/>
      <c r="H3" s="199"/>
      <c r="I3" s="199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194"/>
      <c r="AK3" s="193" t="s">
        <v>28</v>
      </c>
    </row>
    <row r="4" spans="1:252" ht="21" customHeight="1">
      <c r="A4" s="12" t="s">
        <v>2</v>
      </c>
      <c r="B4" s="13">
        <f>SUM('pl budget vs actual'!B33)</f>
        <v>13068</v>
      </c>
      <c r="C4" s="79">
        <f>SUM(B4/B10)</f>
        <v>0.08</v>
      </c>
      <c r="D4" s="80">
        <f>SUM(F4:AJ4)</f>
        <v>0</v>
      </c>
      <c r="E4" s="81">
        <f>B4-D4</f>
        <v>13068</v>
      </c>
      <c r="F4" s="201">
        <f>SUM('1st'!F49)</f>
        <v>0</v>
      </c>
      <c r="G4" s="201">
        <f>SUM('2nd'!F49)</f>
        <v>0</v>
      </c>
      <c r="H4" s="9">
        <f>SUM('3rd'!F49)</f>
        <v>0</v>
      </c>
      <c r="I4" s="9">
        <f>SUM('4th'!F49)</f>
        <v>0</v>
      </c>
      <c r="J4" s="70">
        <f>SUM('5th'!F49)</f>
        <v>0</v>
      </c>
      <c r="K4" s="70">
        <f>SUM('6th'!F49)</f>
        <v>0</v>
      </c>
      <c r="L4" s="70">
        <f>SUM('7th'!F49)</f>
        <v>0</v>
      </c>
      <c r="M4" s="70">
        <f>SUM('8th'!F49)</f>
        <v>0</v>
      </c>
      <c r="N4" s="70">
        <f>SUM('9th'!F49)</f>
        <v>0</v>
      </c>
      <c r="O4" s="70">
        <f>SUM('10th'!F49)</f>
        <v>0</v>
      </c>
      <c r="P4" s="70">
        <f>SUM('11th'!F49)</f>
        <v>0</v>
      </c>
      <c r="Q4" s="70">
        <f>SUM('12th'!F49)</f>
        <v>0</v>
      </c>
      <c r="R4" s="70">
        <f>SUM('13th'!F49)</f>
        <v>0</v>
      </c>
      <c r="S4" s="70">
        <f>SUM('14th'!F49)</f>
        <v>0</v>
      </c>
      <c r="T4" s="70">
        <f>SUM('15th'!F49)</f>
        <v>0</v>
      </c>
      <c r="U4" s="70">
        <f>SUM('16th'!F49)</f>
        <v>0</v>
      </c>
      <c r="V4" s="70">
        <f>SUM('17th'!F49)</f>
        <v>0</v>
      </c>
      <c r="W4" s="70">
        <f>SUM('18th'!F49)</f>
        <v>0</v>
      </c>
      <c r="X4" s="70">
        <f>SUM('19th'!F49)</f>
        <v>0</v>
      </c>
      <c r="Y4" s="70">
        <f>SUM('20th'!F49)</f>
        <v>0</v>
      </c>
      <c r="Z4" s="70">
        <f>SUM('21st'!F49)</f>
        <v>0</v>
      </c>
      <c r="AA4" s="70">
        <f>SUM('22nd'!F49)</f>
        <v>0</v>
      </c>
      <c r="AB4" s="70">
        <f>SUM('23rd'!F49)</f>
        <v>0</v>
      </c>
      <c r="AC4" s="70">
        <f>SUM('24th'!F49)</f>
        <v>0</v>
      </c>
      <c r="AD4" s="70">
        <f>SUM('25th'!F49)</f>
        <v>0</v>
      </c>
      <c r="AE4" s="70">
        <f>SUM('26th'!F49)</f>
        <v>0</v>
      </c>
      <c r="AF4" s="70">
        <f>SUM('27th'!F49)</f>
        <v>0</v>
      </c>
      <c r="AG4" s="70">
        <f>SUM('28th'!F49)</f>
        <v>0</v>
      </c>
      <c r="AH4" s="70">
        <f>SUM('29th'!F49)</f>
        <v>0</v>
      </c>
      <c r="AI4" s="70">
        <f>SUM('30th'!F49)</f>
        <v>0</v>
      </c>
      <c r="AJ4" s="195">
        <f>SUM('31st'!F49)</f>
        <v>0</v>
      </c>
      <c r="AK4" s="12" t="s">
        <v>2</v>
      </c>
    </row>
    <row r="5" spans="1:252" ht="21" customHeight="1">
      <c r="A5" s="7" t="s">
        <v>3</v>
      </c>
      <c r="B5" s="8">
        <f>SUM('pl budget vs actual'!B34)</f>
        <v>14701.5</v>
      </c>
      <c r="C5" s="73">
        <f>SUM(B5/B10)</f>
        <v>0.09</v>
      </c>
      <c r="D5" s="74">
        <f t="shared" ref="D5:D9" si="1">SUM(F5:AJ5)</f>
        <v>0</v>
      </c>
      <c r="E5" s="75">
        <f t="shared" ref="E5:E31" si="2">B5-D5</f>
        <v>14701.5</v>
      </c>
      <c r="F5" s="201">
        <f>SUM('1st'!F50)</f>
        <v>0</v>
      </c>
      <c r="G5" s="201">
        <f>SUM('2nd'!F50)</f>
        <v>0</v>
      </c>
      <c r="H5" s="9">
        <f>SUM('3rd'!F50)</f>
        <v>0</v>
      </c>
      <c r="I5" s="9">
        <f>SUM('4th'!F50)</f>
        <v>0</v>
      </c>
      <c r="J5" s="70">
        <f>SUM('5th'!F50)</f>
        <v>0</v>
      </c>
      <c r="K5" s="70">
        <f>SUM('6th'!F50)</f>
        <v>0</v>
      </c>
      <c r="L5" s="70">
        <f>SUM('7th'!F50)</f>
        <v>0</v>
      </c>
      <c r="M5" s="70">
        <f>SUM('8th'!F50)</f>
        <v>0</v>
      </c>
      <c r="N5" s="70">
        <f>SUM('9th'!F50)</f>
        <v>0</v>
      </c>
      <c r="O5" s="70">
        <f>SUM('10th'!F50)</f>
        <v>0</v>
      </c>
      <c r="P5" s="70">
        <f>SUM('11th'!F50)</f>
        <v>0</v>
      </c>
      <c r="Q5" s="70">
        <f>SUM('12th'!F50)</f>
        <v>0</v>
      </c>
      <c r="R5" s="70">
        <f>SUM('13th'!F50)</f>
        <v>0</v>
      </c>
      <c r="S5" s="70">
        <f>SUM('14th'!F50)</f>
        <v>0</v>
      </c>
      <c r="T5" s="70">
        <f>SUM('15th'!F50)</f>
        <v>0</v>
      </c>
      <c r="U5" s="70">
        <f>SUM('16th'!F50)</f>
        <v>0</v>
      </c>
      <c r="V5" s="70">
        <f>SUM('17th'!F50)</f>
        <v>0</v>
      </c>
      <c r="W5" s="70">
        <f>SUM('18th'!F50)</f>
        <v>0</v>
      </c>
      <c r="X5" s="70">
        <f>SUM('19th'!F50)</f>
        <v>0</v>
      </c>
      <c r="Y5" s="70">
        <f>SUM('20th'!F50)</f>
        <v>0</v>
      </c>
      <c r="Z5" s="70">
        <f>SUM('21st'!F50)</f>
        <v>0</v>
      </c>
      <c r="AA5" s="70">
        <f>SUM('22nd'!F50)</f>
        <v>0</v>
      </c>
      <c r="AB5" s="70">
        <f>SUM('23rd'!F50)</f>
        <v>0</v>
      </c>
      <c r="AC5" s="70">
        <f>SUM('24th'!F50)</f>
        <v>0</v>
      </c>
      <c r="AD5" s="70">
        <f>SUM('25th'!F50)</f>
        <v>0</v>
      </c>
      <c r="AE5" s="70">
        <f>SUM('26th'!F50)</f>
        <v>0</v>
      </c>
      <c r="AF5" s="70">
        <f>SUM('27th'!F50)</f>
        <v>0</v>
      </c>
      <c r="AG5" s="70">
        <f>SUM('28th'!F50)</f>
        <v>0</v>
      </c>
      <c r="AH5" s="70">
        <f>SUM('29th'!F50)</f>
        <v>0</v>
      </c>
      <c r="AI5" s="70">
        <f>SUM('30th'!F50)</f>
        <v>0</v>
      </c>
      <c r="AJ5" s="196">
        <f>SUM('31st'!F50)</f>
        <v>0</v>
      </c>
      <c r="AK5" s="7" t="s">
        <v>3</v>
      </c>
    </row>
    <row r="6" spans="1:252" ht="21" customHeight="1">
      <c r="A6" s="7" t="s">
        <v>4</v>
      </c>
      <c r="B6" s="8">
        <f>SUM('pl budget vs actual'!B37)</f>
        <v>53905.5</v>
      </c>
      <c r="C6" s="73">
        <f>SUM(B6/B10)</f>
        <v>0.33</v>
      </c>
      <c r="D6" s="74">
        <f t="shared" si="1"/>
        <v>0</v>
      </c>
      <c r="E6" s="75">
        <f t="shared" si="2"/>
        <v>53905.5</v>
      </c>
      <c r="F6" s="201">
        <f>SUM('1st'!F51)</f>
        <v>0</v>
      </c>
      <c r="G6" s="201">
        <f>SUM('2nd'!F51)</f>
        <v>0</v>
      </c>
      <c r="H6" s="9">
        <f>SUM('3rd'!F51)</f>
        <v>0</v>
      </c>
      <c r="I6" s="9">
        <f>SUM('4th'!F51)</f>
        <v>0</v>
      </c>
      <c r="J6" s="70">
        <f>SUM('5th'!F51)</f>
        <v>0</v>
      </c>
      <c r="K6" s="70">
        <f>SUM('6th'!F51)</f>
        <v>0</v>
      </c>
      <c r="L6" s="70">
        <f>SUM('7th'!F51)</f>
        <v>0</v>
      </c>
      <c r="M6" s="70">
        <f>SUM('8th'!F51)</f>
        <v>0</v>
      </c>
      <c r="N6" s="70">
        <f>SUM('9th'!F51)</f>
        <v>0</v>
      </c>
      <c r="O6" s="70">
        <f>SUM('10th'!F51)</f>
        <v>0</v>
      </c>
      <c r="P6" s="70">
        <f>SUM('11th'!F51)</f>
        <v>0</v>
      </c>
      <c r="Q6" s="70">
        <f>SUM('12th'!F51)</f>
        <v>0</v>
      </c>
      <c r="R6" s="70">
        <f>SUM('13th'!F51)</f>
        <v>0</v>
      </c>
      <c r="S6" s="70">
        <f>SUM('14th'!F51)</f>
        <v>0</v>
      </c>
      <c r="T6" s="70">
        <f>SUM('15th'!F51)</f>
        <v>0</v>
      </c>
      <c r="U6" s="70">
        <f>SUM('16th'!F51)</f>
        <v>0</v>
      </c>
      <c r="V6" s="70">
        <f>SUM('17th'!F51)</f>
        <v>0</v>
      </c>
      <c r="W6" s="70">
        <f>SUM('18th'!F51)</f>
        <v>0</v>
      </c>
      <c r="X6" s="70">
        <f>SUM('19th'!F51)</f>
        <v>0</v>
      </c>
      <c r="Y6" s="70">
        <f>SUM('20th'!F51)</f>
        <v>0</v>
      </c>
      <c r="Z6" s="70">
        <f>SUM('21st'!F51)</f>
        <v>0</v>
      </c>
      <c r="AA6" s="70">
        <f>SUM('22nd'!F51)</f>
        <v>0</v>
      </c>
      <c r="AB6" s="70">
        <f>SUM('23rd'!F51)</f>
        <v>0</v>
      </c>
      <c r="AC6" s="70">
        <f>SUM('24th'!F51)</f>
        <v>0</v>
      </c>
      <c r="AD6" s="70">
        <f>SUM('25th'!F51)</f>
        <v>0</v>
      </c>
      <c r="AE6" s="70">
        <f>SUM('26th'!F51)</f>
        <v>0</v>
      </c>
      <c r="AF6" s="70">
        <f>SUM('27th'!F51)</f>
        <v>0</v>
      </c>
      <c r="AG6" s="70">
        <f>SUM('28th'!F51)</f>
        <v>0</v>
      </c>
      <c r="AH6" s="70">
        <f>SUM('29th'!F51)</f>
        <v>0</v>
      </c>
      <c r="AI6" s="70">
        <f>SUM('30th'!F51)</f>
        <v>0</v>
      </c>
      <c r="AJ6" s="196">
        <f>SUM('31st'!F51)</f>
        <v>0</v>
      </c>
      <c r="AK6" s="7" t="s">
        <v>4</v>
      </c>
    </row>
    <row r="7" spans="1:252" ht="21" customHeight="1">
      <c r="A7" s="7" t="s">
        <v>5</v>
      </c>
      <c r="B7" s="8">
        <f>SUM('pl budget vs actual'!B36)</f>
        <v>32670</v>
      </c>
      <c r="C7" s="73">
        <f>SUM(B7/B10)</f>
        <v>0.2</v>
      </c>
      <c r="D7" s="74">
        <f t="shared" si="1"/>
        <v>0</v>
      </c>
      <c r="E7" s="75">
        <f t="shared" si="2"/>
        <v>32670</v>
      </c>
      <c r="F7" s="201">
        <f>SUM('1st'!F52)</f>
        <v>0</v>
      </c>
      <c r="G7" s="201">
        <f>SUM('2nd'!F52)</f>
        <v>0</v>
      </c>
      <c r="H7" s="9">
        <f>SUM('3rd'!F52)</f>
        <v>0</v>
      </c>
      <c r="I7" s="9">
        <f>SUM('4th'!F52)</f>
        <v>0</v>
      </c>
      <c r="J7" s="70">
        <f>SUM('5th'!F52)</f>
        <v>0</v>
      </c>
      <c r="K7" s="70">
        <f>SUM('6th'!F52)</f>
        <v>0</v>
      </c>
      <c r="L7" s="70">
        <f>SUM('7th'!F52)</f>
        <v>0</v>
      </c>
      <c r="M7" s="70">
        <f>SUM('8th'!F52)</f>
        <v>0</v>
      </c>
      <c r="N7" s="70">
        <f>SUM('9th'!F52)</f>
        <v>0</v>
      </c>
      <c r="O7" s="70">
        <f>SUM('10th'!F52)</f>
        <v>0</v>
      </c>
      <c r="P7" s="70">
        <f>SUM('11th'!F52)</f>
        <v>0</v>
      </c>
      <c r="Q7" s="70">
        <f>SUM('12th'!F52)</f>
        <v>0</v>
      </c>
      <c r="R7" s="70">
        <f>SUM('13th'!F52)</f>
        <v>0</v>
      </c>
      <c r="S7" s="70">
        <f>SUM('14th'!F52)</f>
        <v>0</v>
      </c>
      <c r="T7" s="70">
        <f>SUM('15th'!F52)</f>
        <v>0</v>
      </c>
      <c r="U7" s="70">
        <f>SUM('16th'!F52)</f>
        <v>0</v>
      </c>
      <c r="V7" s="70">
        <f>SUM('17th'!F52)</f>
        <v>0</v>
      </c>
      <c r="W7" s="70">
        <f>SUM('18th'!F52)</f>
        <v>0</v>
      </c>
      <c r="X7" s="70">
        <f>SUM('19th'!F52)</f>
        <v>0</v>
      </c>
      <c r="Y7" s="70">
        <f>SUM('20th'!F52)</f>
        <v>0</v>
      </c>
      <c r="Z7" s="70">
        <f>SUM('21st'!F52)</f>
        <v>0</v>
      </c>
      <c r="AA7" s="70">
        <f>SUM('22nd'!F52)</f>
        <v>0</v>
      </c>
      <c r="AB7" s="70">
        <f>SUM('23rd'!F52)</f>
        <v>0</v>
      </c>
      <c r="AC7" s="70">
        <f>SUM('24th'!F52)</f>
        <v>0</v>
      </c>
      <c r="AD7" s="70">
        <f>SUM('25th'!F52)</f>
        <v>0</v>
      </c>
      <c r="AE7" s="70">
        <f>SUM('26th'!F52)</f>
        <v>0</v>
      </c>
      <c r="AF7" s="70">
        <f>SUM('27th'!F52)</f>
        <v>0</v>
      </c>
      <c r="AG7" s="70">
        <f>SUM('28th'!F52)</f>
        <v>0</v>
      </c>
      <c r="AH7" s="70">
        <f>SUM('29th'!F52)</f>
        <v>0</v>
      </c>
      <c r="AI7" s="70">
        <f>SUM('30th'!F52)</f>
        <v>0</v>
      </c>
      <c r="AJ7" s="196">
        <f>SUM('31st'!F52)</f>
        <v>0</v>
      </c>
      <c r="AK7" s="7" t="s">
        <v>5</v>
      </c>
    </row>
    <row r="8" spans="1:252" ht="21" customHeight="1">
      <c r="A8" s="7" t="s">
        <v>115</v>
      </c>
      <c r="B8" s="8">
        <f>SUM('pl budget vs actual'!B35)</f>
        <v>34303.5</v>
      </c>
      <c r="C8" s="73">
        <f>SUM(B8/B10)</f>
        <v>0.21</v>
      </c>
      <c r="D8" s="74">
        <f t="shared" si="1"/>
        <v>0</v>
      </c>
      <c r="E8" s="75">
        <f t="shared" si="2"/>
        <v>34303.5</v>
      </c>
      <c r="F8" s="201">
        <f>SUM('1st'!F53)</f>
        <v>0</v>
      </c>
      <c r="G8" s="201">
        <f>SUM('2nd'!F53)</f>
        <v>0</v>
      </c>
      <c r="H8" s="9">
        <f>SUM('3rd'!F53)</f>
        <v>0</v>
      </c>
      <c r="I8" s="9">
        <f>SUM('4th'!F53)</f>
        <v>0</v>
      </c>
      <c r="J8" s="70">
        <f>SUM('5th'!F53)</f>
        <v>0</v>
      </c>
      <c r="K8" s="70">
        <f>SUM('6th'!F53)</f>
        <v>0</v>
      </c>
      <c r="L8" s="70">
        <f>SUM('7th'!F53)</f>
        <v>0</v>
      </c>
      <c r="M8" s="70">
        <f>SUM('8th'!F53)</f>
        <v>0</v>
      </c>
      <c r="N8" s="70">
        <f>SUM('9th'!F53)</f>
        <v>0</v>
      </c>
      <c r="O8" s="70">
        <f>SUM('10th'!F53)</f>
        <v>0</v>
      </c>
      <c r="P8" s="70">
        <f>SUM('11th'!F53)</f>
        <v>0</v>
      </c>
      <c r="Q8" s="70">
        <f>SUM('12th'!F53)</f>
        <v>0</v>
      </c>
      <c r="R8" s="70">
        <f>SUM('13th'!F53)</f>
        <v>0</v>
      </c>
      <c r="S8" s="70">
        <f>SUM('14th'!F53)</f>
        <v>0</v>
      </c>
      <c r="T8" s="70">
        <f>SUM('15th'!F53)</f>
        <v>0</v>
      </c>
      <c r="U8" s="70">
        <f>SUM('16th'!F53)</f>
        <v>0</v>
      </c>
      <c r="V8" s="70">
        <f>SUM('17th'!F53)</f>
        <v>0</v>
      </c>
      <c r="W8" s="70">
        <f>SUM('18th'!F53)</f>
        <v>0</v>
      </c>
      <c r="X8" s="70">
        <f>SUM('19th'!F53)</f>
        <v>0</v>
      </c>
      <c r="Y8" s="70">
        <f>SUM('20th'!F53)</f>
        <v>0</v>
      </c>
      <c r="Z8" s="70">
        <f>SUM('21st'!F53)</f>
        <v>0</v>
      </c>
      <c r="AA8" s="70">
        <f>SUM('22nd'!F53)</f>
        <v>0</v>
      </c>
      <c r="AB8" s="70">
        <f>SUM('23rd'!F53)</f>
        <v>0</v>
      </c>
      <c r="AC8" s="70">
        <f>SUM('24th'!F53)</f>
        <v>0</v>
      </c>
      <c r="AD8" s="70">
        <f>SUM('25th'!F53)</f>
        <v>0</v>
      </c>
      <c r="AE8" s="70">
        <f>SUM('26th'!F53)</f>
        <v>0</v>
      </c>
      <c r="AF8" s="70">
        <f>SUM('27th'!F53)</f>
        <v>0</v>
      </c>
      <c r="AG8" s="70">
        <f>SUM('28th'!F53)</f>
        <v>0</v>
      </c>
      <c r="AH8" s="70">
        <f>SUM('29th'!F53)</f>
        <v>0</v>
      </c>
      <c r="AI8" s="70">
        <f>SUM('30th'!F53)</f>
        <v>0</v>
      </c>
      <c r="AJ8" s="196">
        <f>SUM('31st'!F53)</f>
        <v>0</v>
      </c>
      <c r="AK8" s="7" t="s">
        <v>115</v>
      </c>
    </row>
    <row r="9" spans="1:252" ht="21" customHeight="1">
      <c r="A9" s="7" t="s">
        <v>6</v>
      </c>
      <c r="B9" s="8">
        <f>SUM('pl budget vs actual'!B32)</f>
        <v>14701.5</v>
      </c>
      <c r="C9" s="73">
        <f>SUM(B9/B10)</f>
        <v>0.09</v>
      </c>
      <c r="D9" s="74">
        <f t="shared" si="1"/>
        <v>0</v>
      </c>
      <c r="E9" s="75">
        <f t="shared" si="2"/>
        <v>14701.5</v>
      </c>
      <c r="F9" s="201">
        <f>SUM('1st'!F54)</f>
        <v>0</v>
      </c>
      <c r="G9" s="201">
        <f>SUM('2nd'!F54)</f>
        <v>0</v>
      </c>
      <c r="H9" s="9">
        <f>SUM('3rd'!F54)</f>
        <v>0</v>
      </c>
      <c r="I9" s="9">
        <f>SUM('4th'!F54)</f>
        <v>0</v>
      </c>
      <c r="J9" s="70">
        <f>SUM('5th'!F54)</f>
        <v>0</v>
      </c>
      <c r="K9" s="70">
        <f>SUM('6th'!F54)</f>
        <v>0</v>
      </c>
      <c r="L9" s="70">
        <f>SUM('7th'!F54)</f>
        <v>0</v>
      </c>
      <c r="M9" s="70">
        <f>SUM('8th'!F54)</f>
        <v>0</v>
      </c>
      <c r="N9" s="70">
        <f>SUM('9th'!F54)</f>
        <v>0</v>
      </c>
      <c r="O9" s="70">
        <f>SUM('10th'!F54)</f>
        <v>0</v>
      </c>
      <c r="P9" s="70">
        <f>SUM('11th'!F54)</f>
        <v>0</v>
      </c>
      <c r="Q9" s="70">
        <f>SUM('12th'!F54)</f>
        <v>0</v>
      </c>
      <c r="R9" s="70">
        <f>SUM('13th'!F54)</f>
        <v>0</v>
      </c>
      <c r="S9" s="70">
        <f>SUM('14th'!F54)</f>
        <v>0</v>
      </c>
      <c r="T9" s="70">
        <f>SUM('15th'!F54)</f>
        <v>0</v>
      </c>
      <c r="U9" s="70">
        <f>SUM('16th'!F54)</f>
        <v>0</v>
      </c>
      <c r="V9" s="70">
        <f>SUM('17th'!F54)</f>
        <v>0</v>
      </c>
      <c r="W9" s="70">
        <f>SUM('18th'!F54)</f>
        <v>0</v>
      </c>
      <c r="X9" s="70">
        <f>SUM('19th'!F54)</f>
        <v>0</v>
      </c>
      <c r="Y9" s="70">
        <f>SUM('20th'!F54)</f>
        <v>0</v>
      </c>
      <c r="Z9" s="70">
        <f>SUM('21st'!F54)</f>
        <v>0</v>
      </c>
      <c r="AA9" s="70">
        <f>SUM('22nd'!F54)</f>
        <v>0</v>
      </c>
      <c r="AB9" s="70">
        <f>SUM('23rd'!F54)</f>
        <v>0</v>
      </c>
      <c r="AC9" s="70">
        <f>SUM('24th'!F54)</f>
        <v>0</v>
      </c>
      <c r="AD9" s="70">
        <f>SUM('25th'!F54)</f>
        <v>0</v>
      </c>
      <c r="AE9" s="70">
        <f>SUM('26th'!F54)</f>
        <v>0</v>
      </c>
      <c r="AF9" s="70">
        <f>SUM('27th'!F54)</f>
        <v>0</v>
      </c>
      <c r="AG9" s="70">
        <f>SUM('28th'!F54)</f>
        <v>0</v>
      </c>
      <c r="AH9" s="70">
        <f>SUM('29th'!F54)</f>
        <v>0</v>
      </c>
      <c r="AI9" s="70">
        <f>SUM('30th'!F54)</f>
        <v>0</v>
      </c>
      <c r="AJ9" s="196">
        <f>SUM('31st'!F54)</f>
        <v>0</v>
      </c>
      <c r="AK9" s="7" t="s">
        <v>6</v>
      </c>
    </row>
    <row r="10" spans="1:252" ht="21" customHeight="1" thickBot="1">
      <c r="A10" s="10" t="s">
        <v>16</v>
      </c>
      <c r="B10" s="11">
        <f>SUM(B4:B9)</f>
        <v>163350</v>
      </c>
      <c r="C10" s="76">
        <f>SUM(B10/B23)</f>
        <v>0.66</v>
      </c>
      <c r="D10" s="77">
        <f>SUM(F10:AG10)</f>
        <v>0</v>
      </c>
      <c r="E10" s="78">
        <f t="shared" si="2"/>
        <v>163350</v>
      </c>
      <c r="F10" s="202">
        <f>SUM('1st'!F55)</f>
        <v>0</v>
      </c>
      <c r="G10" s="202">
        <f>SUM('2nd'!F55)</f>
        <v>0</v>
      </c>
      <c r="H10" s="179">
        <f>SUM('3rd'!F55)</f>
        <v>0</v>
      </c>
      <c r="I10" s="179">
        <f>SUM('4th'!F55)</f>
        <v>0</v>
      </c>
      <c r="J10" s="180">
        <f>SUM('5th'!F55)</f>
        <v>0</v>
      </c>
      <c r="K10" s="180">
        <f>SUM('6th'!F55)</f>
        <v>0</v>
      </c>
      <c r="L10" s="180">
        <f>SUM('7th'!F55)</f>
        <v>0</v>
      </c>
      <c r="M10" s="180">
        <f>SUM('8th'!F55)</f>
        <v>0</v>
      </c>
      <c r="N10" s="180">
        <f>SUM('9th'!F55)</f>
        <v>0</v>
      </c>
      <c r="O10" s="180">
        <f>SUM('10th'!F55)</f>
        <v>0</v>
      </c>
      <c r="P10" s="180">
        <f>SUM('11th'!F55)</f>
        <v>0</v>
      </c>
      <c r="Q10" s="180">
        <f>SUM('12th'!F55)</f>
        <v>0</v>
      </c>
      <c r="R10" s="180">
        <f>SUM('13th'!F55)</f>
        <v>0</v>
      </c>
      <c r="S10" s="180">
        <f>SUM('14th'!F55)</f>
        <v>0</v>
      </c>
      <c r="T10" s="180">
        <f>SUM('15th'!F55)</f>
        <v>0</v>
      </c>
      <c r="U10" s="180">
        <f>SUM('16th'!F55)</f>
        <v>0</v>
      </c>
      <c r="V10" s="180">
        <f>SUM('17th'!F55)</f>
        <v>0</v>
      </c>
      <c r="W10" s="180">
        <f>SUM('18th'!F55)</f>
        <v>0</v>
      </c>
      <c r="X10" s="180">
        <f>SUM('19th'!F55)</f>
        <v>0</v>
      </c>
      <c r="Y10" s="180">
        <f>SUM('20th'!F55)</f>
        <v>0</v>
      </c>
      <c r="Z10" s="180">
        <f>SUM('21st'!F55)</f>
        <v>0</v>
      </c>
      <c r="AA10" s="180">
        <f>SUM('22nd'!F55)</f>
        <v>0</v>
      </c>
      <c r="AB10" s="180">
        <f>SUM('23rd'!F55)</f>
        <v>0</v>
      </c>
      <c r="AC10" s="180">
        <f>SUM('24th'!F55)</f>
        <v>0</v>
      </c>
      <c r="AD10" s="180">
        <f>SUM('25th'!F55)</f>
        <v>0</v>
      </c>
      <c r="AE10" s="180">
        <f>SUM('26th'!F55)</f>
        <v>0</v>
      </c>
      <c r="AF10" s="180">
        <f>SUM('27th'!F55)</f>
        <v>0</v>
      </c>
      <c r="AG10" s="180">
        <f>SUM('28th'!F55)</f>
        <v>0</v>
      </c>
      <c r="AH10" s="180">
        <f>SUM('29th'!F55)</f>
        <v>0</v>
      </c>
      <c r="AI10" s="180">
        <f>SUM('30th'!F55)</f>
        <v>0</v>
      </c>
      <c r="AJ10" s="197">
        <f>SUM('31st'!F55)</f>
        <v>0</v>
      </c>
      <c r="AK10" s="10" t="s">
        <v>16</v>
      </c>
    </row>
    <row r="11" spans="1:252" ht="21" customHeight="1" thickBot="1">
      <c r="A11" s="165" t="s">
        <v>29</v>
      </c>
      <c r="B11" s="190"/>
      <c r="C11" s="186"/>
      <c r="D11" s="187"/>
      <c r="E11" s="188"/>
      <c r="F11" s="182"/>
      <c r="G11" s="182"/>
      <c r="H11" s="183"/>
      <c r="I11" s="183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203"/>
      <c r="AK11" s="165" t="s">
        <v>29</v>
      </c>
    </row>
    <row r="12" spans="1:252" ht="21" customHeight="1">
      <c r="A12" s="12" t="s">
        <v>7</v>
      </c>
      <c r="B12" s="13">
        <f>SUM('pl budget vs actual'!B41)</f>
        <v>20012.849999999999</v>
      </c>
      <c r="C12" s="79">
        <f>SUM(B12/B16)</f>
        <v>0.32395833333333329</v>
      </c>
      <c r="D12" s="80">
        <f>SUM(F12:AJ12)</f>
        <v>0</v>
      </c>
      <c r="E12" s="81">
        <f t="shared" si="2"/>
        <v>20012.849999999999</v>
      </c>
      <c r="F12" s="201">
        <f>SUM('1st'!F57)</f>
        <v>0</v>
      </c>
      <c r="G12" s="201">
        <f>SUM('2nd'!F57)</f>
        <v>0</v>
      </c>
      <c r="H12" s="9">
        <f>SUM('3rd'!F57)</f>
        <v>0</v>
      </c>
      <c r="I12" s="9">
        <f>SUM('4th'!F57)</f>
        <v>0</v>
      </c>
      <c r="J12" s="70">
        <f>SUM('5th'!F57)</f>
        <v>0</v>
      </c>
      <c r="K12" s="70">
        <f>SUM('6th'!F57)</f>
        <v>0</v>
      </c>
      <c r="L12" s="70">
        <f>SUM('7th'!F57)</f>
        <v>0</v>
      </c>
      <c r="M12" s="70">
        <f>SUM('8th'!F57)</f>
        <v>0</v>
      </c>
      <c r="N12" s="70">
        <f>SUM('9th'!F57)</f>
        <v>0</v>
      </c>
      <c r="O12" s="70">
        <f>SUM('10th'!F57)</f>
        <v>0</v>
      </c>
      <c r="P12" s="70">
        <f>SUM('11th'!F57)</f>
        <v>0</v>
      </c>
      <c r="Q12" s="70">
        <f>SUM('12th'!F57)</f>
        <v>0</v>
      </c>
      <c r="R12" s="70">
        <f>SUM('13th'!F57)</f>
        <v>0</v>
      </c>
      <c r="S12" s="70">
        <f>SUM('14th'!F57)</f>
        <v>0</v>
      </c>
      <c r="T12" s="70">
        <f>SUM('15th'!F57)</f>
        <v>0</v>
      </c>
      <c r="U12" s="70">
        <f>SUM('16th'!F57)</f>
        <v>0</v>
      </c>
      <c r="V12" s="70">
        <f>SUM('17th'!F57)</f>
        <v>0</v>
      </c>
      <c r="W12" s="70">
        <f>SUM('18th'!F57)</f>
        <v>0</v>
      </c>
      <c r="X12" s="70">
        <f>SUM('19th'!F57)</f>
        <v>0</v>
      </c>
      <c r="Y12" s="70">
        <f>SUM('20th'!F57)</f>
        <v>0</v>
      </c>
      <c r="Z12" s="70">
        <f>SUM('21st'!F57)</f>
        <v>0</v>
      </c>
      <c r="AA12" s="70">
        <f>SUM('22nd'!F57)</f>
        <v>0</v>
      </c>
      <c r="AB12" s="70">
        <f>SUM('23rd'!F57)</f>
        <v>0</v>
      </c>
      <c r="AC12" s="70">
        <f>SUM('24th'!F57)</f>
        <v>0</v>
      </c>
      <c r="AD12" s="70">
        <f>SUM('25th'!F57)</f>
        <v>0</v>
      </c>
      <c r="AE12" s="70">
        <f>SUM('26th'!F57)</f>
        <v>0</v>
      </c>
      <c r="AF12" s="70">
        <f>SUM('27th'!F57)</f>
        <v>0</v>
      </c>
      <c r="AG12" s="70">
        <f>SUM('28th'!F57)</f>
        <v>0</v>
      </c>
      <c r="AH12" s="70">
        <f>SUM('29th'!F57)</f>
        <v>0</v>
      </c>
      <c r="AI12" s="70">
        <f>SUM('30th'!F57)</f>
        <v>0</v>
      </c>
      <c r="AJ12" s="70">
        <f>SUM('31st'!F57)</f>
        <v>0</v>
      </c>
      <c r="AK12" s="12" t="s">
        <v>7</v>
      </c>
    </row>
    <row r="13" spans="1:252" ht="21" customHeight="1">
      <c r="A13" s="7" t="s">
        <v>8</v>
      </c>
      <c r="B13" s="8">
        <f>SUM('pl budget vs actual'!B44)</f>
        <v>9652.5</v>
      </c>
      <c r="C13" s="73">
        <f>SUM(B13/B16)</f>
        <v>0.15625</v>
      </c>
      <c r="D13" s="80">
        <f>SUM(F13:AJ13)</f>
        <v>0</v>
      </c>
      <c r="E13" s="75">
        <f t="shared" si="2"/>
        <v>9652.5</v>
      </c>
      <c r="F13" s="201">
        <f>SUM('1st'!F58)</f>
        <v>0</v>
      </c>
      <c r="G13" s="201">
        <f>SUM('2nd'!F58)</f>
        <v>0</v>
      </c>
      <c r="H13" s="9">
        <f>SUM('3rd'!F58)</f>
        <v>0</v>
      </c>
      <c r="I13" s="9">
        <f>SUM('4th'!F58)</f>
        <v>0</v>
      </c>
      <c r="J13" s="70">
        <f>SUM('5th'!F58)</f>
        <v>0</v>
      </c>
      <c r="K13" s="70">
        <f>SUM('6th'!F58)</f>
        <v>0</v>
      </c>
      <c r="L13" s="70">
        <f>SUM('7th'!F58)</f>
        <v>0</v>
      </c>
      <c r="M13" s="70">
        <f>SUM('8th'!F58)</f>
        <v>0</v>
      </c>
      <c r="N13" s="70">
        <f>SUM('9th'!F58)</f>
        <v>0</v>
      </c>
      <c r="O13" s="70">
        <f>SUM('10th'!F58)</f>
        <v>0</v>
      </c>
      <c r="P13" s="70">
        <f>SUM('11th'!F58)</f>
        <v>0</v>
      </c>
      <c r="Q13" s="70">
        <f>SUM('12th'!F58)</f>
        <v>0</v>
      </c>
      <c r="R13" s="70">
        <f>SUM('13th'!F58)</f>
        <v>0</v>
      </c>
      <c r="S13" s="70">
        <f>SUM('14th'!F58)</f>
        <v>0</v>
      </c>
      <c r="T13" s="70">
        <f>SUM('15th'!F58)</f>
        <v>0</v>
      </c>
      <c r="U13" s="70">
        <f>SUM('16th'!F58)</f>
        <v>0</v>
      </c>
      <c r="V13" s="70">
        <f>SUM('17th'!F58)</f>
        <v>0</v>
      </c>
      <c r="W13" s="70">
        <f>SUM('18th'!F58)</f>
        <v>0</v>
      </c>
      <c r="X13" s="70">
        <f>SUM('19th'!F58)</f>
        <v>0</v>
      </c>
      <c r="Y13" s="70">
        <f>SUM('20th'!F58)</f>
        <v>0</v>
      </c>
      <c r="Z13" s="70">
        <f>SUM('21st'!F58)</f>
        <v>0</v>
      </c>
      <c r="AA13" s="70">
        <f>SUM('22nd'!F58)</f>
        <v>0</v>
      </c>
      <c r="AB13" s="70">
        <f>SUM('23rd'!F58)</f>
        <v>0</v>
      </c>
      <c r="AC13" s="70">
        <f>SUM('24th'!F58)</f>
        <v>0</v>
      </c>
      <c r="AD13" s="70">
        <f>SUM('25th'!F58)</f>
        <v>0</v>
      </c>
      <c r="AE13" s="70">
        <f>SUM('26th'!F58)</f>
        <v>0</v>
      </c>
      <c r="AF13" s="70">
        <f>SUM('27th'!F58)</f>
        <v>0</v>
      </c>
      <c r="AG13" s="70">
        <f>SUM('28th'!F58)</f>
        <v>0</v>
      </c>
      <c r="AH13" s="70">
        <f>SUM('29th'!F58)</f>
        <v>0</v>
      </c>
      <c r="AI13" s="70">
        <f>SUM('30th'!F58)</f>
        <v>0</v>
      </c>
      <c r="AJ13" s="70">
        <f>SUM('31st'!F58)</f>
        <v>0</v>
      </c>
      <c r="AK13" s="7" t="s">
        <v>8</v>
      </c>
      <c r="IR13" s="82">
        <f>SUM(AA13:IQ13)</f>
        <v>0</v>
      </c>
    </row>
    <row r="14" spans="1:252" ht="21" customHeight="1">
      <c r="A14" s="7" t="s">
        <v>9</v>
      </c>
      <c r="B14" s="8">
        <f>SUM('pl budget vs actual'!B40)</f>
        <v>28249.65</v>
      </c>
      <c r="C14" s="73">
        <f>SUM(B14/B16)</f>
        <v>0.45729166666666671</v>
      </c>
      <c r="D14" s="80">
        <f>SUM(F14:AJ14)</f>
        <v>0</v>
      </c>
      <c r="E14" s="75">
        <f t="shared" si="2"/>
        <v>28249.65</v>
      </c>
      <c r="F14" s="201">
        <f>SUM('1st'!F59)</f>
        <v>0</v>
      </c>
      <c r="G14" s="201">
        <f>SUM('2nd'!F59)</f>
        <v>0</v>
      </c>
      <c r="H14" s="9">
        <f>SUM('3rd'!F59)</f>
        <v>0</v>
      </c>
      <c r="I14" s="9">
        <f>SUM('4th'!F59)</f>
        <v>0</v>
      </c>
      <c r="J14" s="70">
        <f>SUM('5th'!F59)</f>
        <v>0</v>
      </c>
      <c r="K14" s="70">
        <f>SUM('6th'!F59)</f>
        <v>0</v>
      </c>
      <c r="L14" s="70">
        <f>SUM('7th'!F59)</f>
        <v>0</v>
      </c>
      <c r="M14" s="70">
        <f>SUM('8th'!F59)</f>
        <v>0</v>
      </c>
      <c r="N14" s="70">
        <f>SUM('9th'!F59)</f>
        <v>0</v>
      </c>
      <c r="O14" s="70">
        <f>SUM('10th'!F59)</f>
        <v>0</v>
      </c>
      <c r="P14" s="70">
        <f>SUM('11th'!F59)</f>
        <v>0</v>
      </c>
      <c r="Q14" s="70">
        <f>SUM('12th'!F59)</f>
        <v>0</v>
      </c>
      <c r="R14" s="70">
        <f>SUM('13th'!F59)</f>
        <v>0</v>
      </c>
      <c r="S14" s="70">
        <f>SUM('14th'!F59)</f>
        <v>0</v>
      </c>
      <c r="T14" s="70">
        <f>SUM('15th'!F59)</f>
        <v>0</v>
      </c>
      <c r="U14" s="70">
        <f>SUM('16th'!F59)</f>
        <v>0</v>
      </c>
      <c r="V14" s="70">
        <f>SUM('17th'!F59)</f>
        <v>0</v>
      </c>
      <c r="W14" s="70">
        <f>SUM('18th'!F59)</f>
        <v>0</v>
      </c>
      <c r="X14" s="70">
        <f>SUM('19th'!F59)</f>
        <v>0</v>
      </c>
      <c r="Y14" s="70">
        <f>SUM('20th'!F59)</f>
        <v>0</v>
      </c>
      <c r="Z14" s="70">
        <f>SUM('21st'!F59)</f>
        <v>0</v>
      </c>
      <c r="AA14" s="70">
        <f>SUM('22nd'!F59)</f>
        <v>0</v>
      </c>
      <c r="AB14" s="70">
        <f>SUM('23rd'!F59)</f>
        <v>0</v>
      </c>
      <c r="AC14" s="70">
        <f>SUM('24th'!F59)</f>
        <v>0</v>
      </c>
      <c r="AD14" s="70">
        <f>SUM('25th'!F59)</f>
        <v>0</v>
      </c>
      <c r="AE14" s="70">
        <f>SUM('26th'!F59)</f>
        <v>0</v>
      </c>
      <c r="AF14" s="70">
        <f>SUM('27th'!F59)</f>
        <v>0</v>
      </c>
      <c r="AG14" s="70">
        <f>SUM('28th'!F59)</f>
        <v>0</v>
      </c>
      <c r="AH14" s="70">
        <f>SUM('29th'!F59)</f>
        <v>0</v>
      </c>
      <c r="AI14" s="70">
        <f>SUM('30th'!F59)</f>
        <v>0</v>
      </c>
      <c r="AJ14" s="70">
        <f>SUM('31st'!F59)</f>
        <v>0</v>
      </c>
      <c r="AK14" s="7" t="s">
        <v>9</v>
      </c>
    </row>
    <row r="15" spans="1:252" ht="21" customHeight="1">
      <c r="A15" s="7" t="s">
        <v>10</v>
      </c>
      <c r="B15" s="8">
        <f>SUM('pl budget vs actual'!B43)</f>
        <v>3861</v>
      </c>
      <c r="C15" s="73">
        <f>SUM(B15/B16)</f>
        <v>6.25E-2</v>
      </c>
      <c r="D15" s="80">
        <f>SUM(F15:AJ15)</f>
        <v>0</v>
      </c>
      <c r="E15" s="75">
        <f t="shared" si="2"/>
        <v>3861</v>
      </c>
      <c r="F15" s="201">
        <f>SUM('1st'!F60)</f>
        <v>0</v>
      </c>
      <c r="G15" s="201">
        <f>SUM('2nd'!F60)</f>
        <v>0</v>
      </c>
      <c r="H15" s="9">
        <f>SUM('3rd'!F60)</f>
        <v>0</v>
      </c>
      <c r="I15" s="9">
        <f>SUM('4th'!F60)</f>
        <v>0</v>
      </c>
      <c r="J15" s="70">
        <f>SUM('5th'!F60)</f>
        <v>0</v>
      </c>
      <c r="K15" s="70">
        <f>SUM('6th'!F60)</f>
        <v>0</v>
      </c>
      <c r="L15" s="70">
        <f>SUM('7th'!F60)</f>
        <v>0</v>
      </c>
      <c r="M15" s="70">
        <f>SUM('8th'!F60)</f>
        <v>0</v>
      </c>
      <c r="N15" s="70">
        <f>SUM('9th'!F60)</f>
        <v>0</v>
      </c>
      <c r="O15" s="70">
        <f>SUM('10th'!F60)</f>
        <v>0</v>
      </c>
      <c r="P15" s="70">
        <f>SUM('11th'!F60)</f>
        <v>0</v>
      </c>
      <c r="Q15" s="70">
        <f>SUM('12th'!F60)</f>
        <v>0</v>
      </c>
      <c r="R15" s="70">
        <f>SUM('13th'!F60)</f>
        <v>0</v>
      </c>
      <c r="S15" s="70">
        <f>SUM('14th'!F60)</f>
        <v>0</v>
      </c>
      <c r="T15" s="70">
        <f>SUM('15th'!F60)</f>
        <v>0</v>
      </c>
      <c r="U15" s="70">
        <f>SUM('16th'!F60)</f>
        <v>0</v>
      </c>
      <c r="V15" s="70">
        <f>SUM('17th'!F60)</f>
        <v>0</v>
      </c>
      <c r="W15" s="70">
        <f>SUM('18th'!F60)</f>
        <v>0</v>
      </c>
      <c r="X15" s="70">
        <f>SUM('19th'!F60)</f>
        <v>0</v>
      </c>
      <c r="Y15" s="70">
        <f>SUM('20th'!F60)</f>
        <v>0</v>
      </c>
      <c r="Z15" s="70">
        <f>SUM('21st'!F60)</f>
        <v>0</v>
      </c>
      <c r="AA15" s="70">
        <f>SUM('22nd'!F60)</f>
        <v>0</v>
      </c>
      <c r="AB15" s="70">
        <f>SUM('23rd'!F60)</f>
        <v>0</v>
      </c>
      <c r="AC15" s="70">
        <f>SUM('24th'!F60)</f>
        <v>0</v>
      </c>
      <c r="AD15" s="70">
        <f>SUM('25th'!F60)</f>
        <v>0</v>
      </c>
      <c r="AE15" s="70">
        <f>SUM('26th'!F60)</f>
        <v>0</v>
      </c>
      <c r="AF15" s="70">
        <f>SUM('27th'!F60)</f>
        <v>0</v>
      </c>
      <c r="AG15" s="70">
        <f>SUM('28th'!F60)</f>
        <v>0</v>
      </c>
      <c r="AH15" s="70">
        <f>SUM('29th'!F60)</f>
        <v>0</v>
      </c>
      <c r="AI15" s="70">
        <f>SUM('30th'!F60)</f>
        <v>0</v>
      </c>
      <c r="AJ15" s="70">
        <f>SUM('31st'!F60)</f>
        <v>0</v>
      </c>
      <c r="AK15" s="7" t="s">
        <v>10</v>
      </c>
    </row>
    <row r="16" spans="1:252" ht="21" customHeight="1" thickBot="1">
      <c r="A16" s="14" t="s">
        <v>17</v>
      </c>
      <c r="B16" s="11">
        <f>SUM(B12:B15)</f>
        <v>61776</v>
      </c>
      <c r="C16" s="76">
        <f>SUM(B16/B23)</f>
        <v>0.24959999999999999</v>
      </c>
      <c r="D16" s="77">
        <f>SUM(F16:AG16)</f>
        <v>0</v>
      </c>
      <c r="E16" s="78">
        <f t="shared" si="2"/>
        <v>61776</v>
      </c>
      <c r="F16" s="202">
        <f>SUM('1st'!F61)</f>
        <v>0</v>
      </c>
      <c r="G16" s="202">
        <f>SUM('2nd'!F61)</f>
        <v>0</v>
      </c>
      <c r="H16" s="179">
        <f>SUM('3rd'!F61)</f>
        <v>0</v>
      </c>
      <c r="I16" s="179">
        <f>SUM('4th'!F61)</f>
        <v>0</v>
      </c>
      <c r="J16" s="180">
        <f>SUM('5th'!F61)</f>
        <v>0</v>
      </c>
      <c r="K16" s="180">
        <f>SUM('6th'!F61)</f>
        <v>0</v>
      </c>
      <c r="L16" s="180">
        <f>SUM('7th'!F61)</f>
        <v>0</v>
      </c>
      <c r="M16" s="180">
        <f>SUM('8th'!F61)</f>
        <v>0</v>
      </c>
      <c r="N16" s="180">
        <f>SUM('9th'!F61)</f>
        <v>0</v>
      </c>
      <c r="O16" s="180">
        <f>SUM('10th'!F61)</f>
        <v>0</v>
      </c>
      <c r="P16" s="180">
        <f>SUM('11th'!F61)</f>
        <v>0</v>
      </c>
      <c r="Q16" s="180">
        <f>SUM('12th'!F61)</f>
        <v>0</v>
      </c>
      <c r="R16" s="180">
        <f>SUM('13th'!F61)</f>
        <v>0</v>
      </c>
      <c r="S16" s="180">
        <f>SUM('14th'!F61)</f>
        <v>0</v>
      </c>
      <c r="T16" s="180">
        <f>SUM('15th'!F61)</f>
        <v>0</v>
      </c>
      <c r="U16" s="180">
        <f>SUM('16th'!F61)</f>
        <v>0</v>
      </c>
      <c r="V16" s="180">
        <f>SUM('17th'!F61)</f>
        <v>0</v>
      </c>
      <c r="W16" s="180">
        <f>SUM('18th'!F61)</f>
        <v>0</v>
      </c>
      <c r="X16" s="180">
        <f>SUM('19th'!F61)</f>
        <v>0</v>
      </c>
      <c r="Y16" s="180">
        <f>SUM('20th'!F61)</f>
        <v>0</v>
      </c>
      <c r="Z16" s="180">
        <f>SUM('21st'!F61)</f>
        <v>0</v>
      </c>
      <c r="AA16" s="180">
        <f>SUM('22nd'!F61)</f>
        <v>0</v>
      </c>
      <c r="AB16" s="180">
        <f>SUM('23rd'!F61)</f>
        <v>0</v>
      </c>
      <c r="AC16" s="180">
        <f>SUM('24th'!F61)</f>
        <v>0</v>
      </c>
      <c r="AD16" s="180">
        <f>SUM('25th'!F61)</f>
        <v>0</v>
      </c>
      <c r="AE16" s="180">
        <f>SUM('26th'!F61)</f>
        <v>0</v>
      </c>
      <c r="AF16" s="180">
        <f>SUM('27th'!F61)</f>
        <v>0</v>
      </c>
      <c r="AG16" s="180">
        <f>SUM('28th'!F61)</f>
        <v>0</v>
      </c>
      <c r="AH16" s="180">
        <f>SUM('29th'!F61)</f>
        <v>0</v>
      </c>
      <c r="AI16" s="180">
        <f>SUM('30th'!F61)</f>
        <v>0</v>
      </c>
      <c r="AJ16" s="180">
        <f>SUM('31st'!F61)</f>
        <v>0</v>
      </c>
      <c r="AK16" s="14" t="s">
        <v>17</v>
      </c>
    </row>
    <row r="17" spans="1:37" ht="21" customHeight="1" thickBot="1">
      <c r="A17" s="172" t="s">
        <v>30</v>
      </c>
      <c r="B17" s="190"/>
      <c r="C17" s="186"/>
      <c r="D17" s="187"/>
      <c r="E17" s="188"/>
      <c r="F17" s="182"/>
      <c r="G17" s="182"/>
      <c r="H17" s="183"/>
      <c r="I17" s="183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204"/>
      <c r="AK17" s="172" t="s">
        <v>30</v>
      </c>
    </row>
    <row r="18" spans="1:37" ht="21" customHeight="1">
      <c r="A18" s="171" t="s">
        <v>74</v>
      </c>
      <c r="B18" s="13">
        <f>SUM('pl budget vs actual'!B27)</f>
        <v>0</v>
      </c>
      <c r="C18" s="79">
        <f>SUM(B18/B21)</f>
        <v>0</v>
      </c>
      <c r="D18" s="189">
        <f>SUM(F18:AJ18)</f>
        <v>0</v>
      </c>
      <c r="E18" s="81">
        <f>SUM(B18-D18)</f>
        <v>0</v>
      </c>
      <c r="F18" s="201">
        <f>SUM('1st'!F63)</f>
        <v>0</v>
      </c>
      <c r="G18" s="201">
        <f>SUM('2nd'!F63)</f>
        <v>0</v>
      </c>
      <c r="H18" s="9">
        <f>SUM('3rd'!F63)</f>
        <v>0</v>
      </c>
      <c r="I18" s="9">
        <f>SUM('4th'!F63)</f>
        <v>0</v>
      </c>
      <c r="J18" s="70">
        <f>SUM('5th'!F63)</f>
        <v>0</v>
      </c>
      <c r="K18" s="70">
        <f>SUM('6th'!F63)</f>
        <v>0</v>
      </c>
      <c r="L18" s="70">
        <f>SUM('7th'!F63)</f>
        <v>0</v>
      </c>
      <c r="M18" s="70">
        <f>SUM('8th'!F63)</f>
        <v>0</v>
      </c>
      <c r="N18" s="70">
        <f>SUM('9th'!F63)</f>
        <v>0</v>
      </c>
      <c r="O18" s="70">
        <f>SUM('10th'!F63)</f>
        <v>0</v>
      </c>
      <c r="P18" s="70">
        <f>SUM('11th'!F63)</f>
        <v>0</v>
      </c>
      <c r="Q18" s="70">
        <f>SUM('12th'!F63)</f>
        <v>0</v>
      </c>
      <c r="R18" s="70">
        <f>SUM('13th'!F63)</f>
        <v>0</v>
      </c>
      <c r="S18" s="70">
        <f>SUM('14th'!F63)</f>
        <v>0</v>
      </c>
      <c r="T18" s="70">
        <f>SUM('15th'!F63)</f>
        <v>0</v>
      </c>
      <c r="U18" s="70">
        <f>SUM('16th'!F63)</f>
        <v>0</v>
      </c>
      <c r="V18" s="70">
        <f>SUM('17th'!F63)</f>
        <v>0</v>
      </c>
      <c r="W18" s="70">
        <f>SUM('18th'!F63)</f>
        <v>0</v>
      </c>
      <c r="X18" s="70">
        <f>SUM('19th'!F63)</f>
        <v>0</v>
      </c>
      <c r="Y18" s="70">
        <f>SUM('20th'!F63)</f>
        <v>0</v>
      </c>
      <c r="Z18" s="70">
        <f>SUM('21st'!F63)</f>
        <v>0</v>
      </c>
      <c r="AA18" s="70">
        <f>SUM('22nd'!F63)</f>
        <v>0</v>
      </c>
      <c r="AB18" s="70">
        <f>SUM('23rd'!F63)</f>
        <v>0</v>
      </c>
      <c r="AC18" s="70">
        <f>SUM('24th'!F63)</f>
        <v>0</v>
      </c>
      <c r="AD18" s="70">
        <f>SUM('25th'!F63)</f>
        <v>0</v>
      </c>
      <c r="AE18" s="70">
        <f>SUM('26th'!F63)</f>
        <v>0</v>
      </c>
      <c r="AF18" s="70">
        <f>SUM('27th'!F63)</f>
        <v>0</v>
      </c>
      <c r="AG18" s="70">
        <f>SUM('28th'!F63)</f>
        <v>0</v>
      </c>
      <c r="AH18" s="70">
        <f>SUM('29th'!F63)</f>
        <v>0</v>
      </c>
      <c r="AI18" s="70">
        <f>SUM('30th'!F63)</f>
        <v>0</v>
      </c>
      <c r="AJ18" s="70">
        <f>SUM('31st'!F63)</f>
        <v>0</v>
      </c>
      <c r="AK18" s="171" t="s">
        <v>74</v>
      </c>
    </row>
    <row r="19" spans="1:37" ht="21" customHeight="1">
      <c r="A19" s="12" t="s">
        <v>11</v>
      </c>
      <c r="B19" s="13">
        <f>SUM('pl budget vs actual'!B42)</f>
        <v>2574</v>
      </c>
      <c r="C19" s="79">
        <f>SUM(B19/B21)</f>
        <v>1</v>
      </c>
      <c r="D19" s="83">
        <f>SUM(F19:AJ19)</f>
        <v>0</v>
      </c>
      <c r="E19" s="81">
        <f t="shared" si="2"/>
        <v>2574</v>
      </c>
      <c r="F19" s="201">
        <f>SUM('1st'!F64)</f>
        <v>0</v>
      </c>
      <c r="G19" s="201">
        <f>SUM('2nd'!F64)</f>
        <v>0</v>
      </c>
      <c r="H19" s="9">
        <f>SUM('3rd'!F64)</f>
        <v>0</v>
      </c>
      <c r="I19" s="9">
        <f>SUM('4th'!F64)</f>
        <v>0</v>
      </c>
      <c r="J19" s="70">
        <f>SUM('5th'!F64)</f>
        <v>0</v>
      </c>
      <c r="K19" s="70">
        <f>SUM('6th'!F64)</f>
        <v>0</v>
      </c>
      <c r="L19" s="70">
        <f>SUM('7th'!F64)</f>
        <v>0</v>
      </c>
      <c r="M19" s="70">
        <f>SUM('8th'!F64)</f>
        <v>0</v>
      </c>
      <c r="N19" s="70">
        <f>SUM('9th'!F64)</f>
        <v>0</v>
      </c>
      <c r="O19" s="70">
        <f>SUM('10th'!F64)</f>
        <v>0</v>
      </c>
      <c r="P19" s="70">
        <f>SUM('11th'!F64)</f>
        <v>0</v>
      </c>
      <c r="Q19" s="70">
        <f>SUM('12th'!F64)</f>
        <v>0</v>
      </c>
      <c r="R19" s="70">
        <f>SUM('13th'!F64)</f>
        <v>0</v>
      </c>
      <c r="S19" s="70">
        <f>SUM('14th'!F64)</f>
        <v>0</v>
      </c>
      <c r="T19" s="70">
        <f>SUM('15th'!F64)</f>
        <v>0</v>
      </c>
      <c r="U19" s="70">
        <f>SUM('16th'!F64)</f>
        <v>0</v>
      </c>
      <c r="V19" s="70">
        <f>SUM('17th'!F64)</f>
        <v>0</v>
      </c>
      <c r="W19" s="70">
        <f>SUM('18th'!F64)</f>
        <v>0</v>
      </c>
      <c r="X19" s="70">
        <f>SUM('19th'!F64)</f>
        <v>0</v>
      </c>
      <c r="Y19" s="70">
        <f>SUM('20th'!F64)</f>
        <v>0</v>
      </c>
      <c r="Z19" s="70">
        <f>SUM('21st'!F64)</f>
        <v>0</v>
      </c>
      <c r="AA19" s="70">
        <f>SUM('22nd'!F64)</f>
        <v>0</v>
      </c>
      <c r="AB19" s="70">
        <f>SUM('23rd'!F64)</f>
        <v>0</v>
      </c>
      <c r="AC19" s="70">
        <f>SUM('24th'!F64)</f>
        <v>0</v>
      </c>
      <c r="AD19" s="70">
        <f>SUM('25th'!F64)</f>
        <v>0</v>
      </c>
      <c r="AE19" s="70">
        <f>SUM('26th'!F64)</f>
        <v>0</v>
      </c>
      <c r="AF19" s="70">
        <f>SUM('27th'!F64)</f>
        <v>0</v>
      </c>
      <c r="AG19" s="70">
        <f>SUM('28th'!F64)</f>
        <v>0</v>
      </c>
      <c r="AH19" s="70">
        <f>SUM('29th'!F64)</f>
        <v>0</v>
      </c>
      <c r="AI19" s="70">
        <f>SUM('30th'!F64)</f>
        <v>0</v>
      </c>
      <c r="AJ19" s="70">
        <f>SUM('31st'!F64)</f>
        <v>0</v>
      </c>
      <c r="AK19" s="12" t="s">
        <v>11</v>
      </c>
    </row>
    <row r="20" spans="1:37" ht="21" customHeight="1">
      <c r="A20" s="7" t="s">
        <v>12</v>
      </c>
      <c r="B20" s="8">
        <f>SUM('pl budget vs actual'!B28)</f>
        <v>0</v>
      </c>
      <c r="C20" s="73">
        <f>SUM(B20/B21)</f>
        <v>0</v>
      </c>
      <c r="D20" s="83">
        <f>SUM(F20:AJ20)</f>
        <v>0</v>
      </c>
      <c r="E20" s="75">
        <f t="shared" si="2"/>
        <v>0</v>
      </c>
      <c r="F20" s="201">
        <f>SUM('1st'!F65)</f>
        <v>0</v>
      </c>
      <c r="G20" s="201">
        <f>SUM('2nd'!F65)</f>
        <v>0</v>
      </c>
      <c r="H20" s="9">
        <f>SUM('3rd'!F65)</f>
        <v>0</v>
      </c>
      <c r="I20" s="9">
        <f>SUM('4th'!F65)</f>
        <v>0</v>
      </c>
      <c r="J20" s="70">
        <f>SUM('5th'!F65)</f>
        <v>0</v>
      </c>
      <c r="K20" s="70">
        <f>SUM('6th'!F65)</f>
        <v>0</v>
      </c>
      <c r="L20" s="70">
        <f>SUM('7th'!F65)</f>
        <v>0</v>
      </c>
      <c r="M20" s="70">
        <f>SUM('8th'!F65)</f>
        <v>0</v>
      </c>
      <c r="N20" s="70">
        <f>SUM('9th'!F65)</f>
        <v>0</v>
      </c>
      <c r="O20" s="70">
        <f>SUM('10th'!F65)</f>
        <v>0</v>
      </c>
      <c r="P20" s="70">
        <f>SUM('11th'!F65)</f>
        <v>0</v>
      </c>
      <c r="Q20" s="70">
        <f>SUM('12th'!F65)</f>
        <v>0</v>
      </c>
      <c r="R20" s="70">
        <f>SUM('13th'!F65)</f>
        <v>0</v>
      </c>
      <c r="S20" s="70">
        <f>SUM('14th'!F65)</f>
        <v>0</v>
      </c>
      <c r="T20" s="70">
        <f>SUM('15th'!F65)</f>
        <v>0</v>
      </c>
      <c r="U20" s="70">
        <f>SUM('16th'!F65)</f>
        <v>0</v>
      </c>
      <c r="V20" s="70">
        <f>SUM('17th'!F65)</f>
        <v>0</v>
      </c>
      <c r="W20" s="70">
        <f>SUM('18th'!F65)</f>
        <v>0</v>
      </c>
      <c r="X20" s="70">
        <f>SUM('19th'!F65)</f>
        <v>0</v>
      </c>
      <c r="Y20" s="70">
        <f>SUM('20th'!F65)</f>
        <v>0</v>
      </c>
      <c r="Z20" s="70">
        <f>SUM('21st'!F65)</f>
        <v>0</v>
      </c>
      <c r="AA20" s="70">
        <f>SUM('22nd'!F65)</f>
        <v>0</v>
      </c>
      <c r="AB20" s="70">
        <f>SUM('23rd'!F65)</f>
        <v>0</v>
      </c>
      <c r="AC20" s="70">
        <f>SUM('24th'!F65)</f>
        <v>0</v>
      </c>
      <c r="AD20" s="70">
        <f>SUM('25th'!F65)</f>
        <v>0</v>
      </c>
      <c r="AE20" s="70">
        <f>SUM('26th'!F65)</f>
        <v>0</v>
      </c>
      <c r="AF20" s="70">
        <f>SUM('27th'!F65)</f>
        <v>0</v>
      </c>
      <c r="AG20" s="70">
        <f>SUM('28th'!F65)</f>
        <v>0</v>
      </c>
      <c r="AH20" s="70">
        <f>SUM('29th'!F65)</f>
        <v>0</v>
      </c>
      <c r="AI20" s="70">
        <f>SUM('30th'!F65)</f>
        <v>0</v>
      </c>
      <c r="AJ20" s="70">
        <f>SUM('31st'!F65)</f>
        <v>0</v>
      </c>
      <c r="AK20" s="7" t="s">
        <v>12</v>
      </c>
    </row>
    <row r="21" spans="1:37" ht="21" customHeight="1">
      <c r="A21" s="15" t="s">
        <v>18</v>
      </c>
      <c r="B21" s="16">
        <f>SUM(B18:B20)</f>
        <v>2574</v>
      </c>
      <c r="C21" s="84">
        <f>SUM(B21/B23)</f>
        <v>1.04E-2</v>
      </c>
      <c r="D21" s="85">
        <f>SUM(D18:D20)</f>
        <v>0</v>
      </c>
      <c r="E21" s="86">
        <f t="shared" si="2"/>
        <v>2574</v>
      </c>
      <c r="F21" s="202">
        <f>SUM('1st'!F66)</f>
        <v>0</v>
      </c>
      <c r="G21" s="202">
        <f>SUM('2nd'!F66)</f>
        <v>0</v>
      </c>
      <c r="H21" s="179">
        <f>SUM('3rd'!F66)</f>
        <v>0</v>
      </c>
      <c r="I21" s="179">
        <f>SUM('4th'!F66)</f>
        <v>0</v>
      </c>
      <c r="J21" s="180">
        <f>SUM('5th'!F66)</f>
        <v>0</v>
      </c>
      <c r="K21" s="180">
        <f>SUM('6th'!F66)</f>
        <v>0</v>
      </c>
      <c r="L21" s="180">
        <f>SUM('7th'!F66)</f>
        <v>0</v>
      </c>
      <c r="M21" s="180">
        <f>SUM('8th'!F66)</f>
        <v>0</v>
      </c>
      <c r="N21" s="180">
        <f>SUM('9th'!F66)</f>
        <v>0</v>
      </c>
      <c r="O21" s="180">
        <f>SUM('10th'!F66)</f>
        <v>0</v>
      </c>
      <c r="P21" s="180">
        <f>SUM('11th'!F66)</f>
        <v>0</v>
      </c>
      <c r="Q21" s="180">
        <f>SUM('12th'!F66)</f>
        <v>0</v>
      </c>
      <c r="R21" s="180">
        <f>SUM('13th'!F66)</f>
        <v>0</v>
      </c>
      <c r="S21" s="180">
        <f>SUM('14th'!F66)</f>
        <v>0</v>
      </c>
      <c r="T21" s="180">
        <f>SUM('15th'!F66)</f>
        <v>0</v>
      </c>
      <c r="U21" s="180">
        <f>SUM('16th'!F66)</f>
        <v>0</v>
      </c>
      <c r="V21" s="180">
        <f>SUM('17th'!F66)</f>
        <v>0</v>
      </c>
      <c r="W21" s="180">
        <f>SUM('18th'!F66)</f>
        <v>0</v>
      </c>
      <c r="X21" s="180">
        <f>SUM('19th'!F66)</f>
        <v>0</v>
      </c>
      <c r="Y21" s="180">
        <f>SUM('20th'!F66)</f>
        <v>0</v>
      </c>
      <c r="Z21" s="180">
        <f>SUM('21st'!F66)</f>
        <v>0</v>
      </c>
      <c r="AA21" s="180">
        <f>SUM('22nd'!F66)</f>
        <v>0</v>
      </c>
      <c r="AB21" s="180">
        <f>SUM('23rd'!F66)</f>
        <v>0</v>
      </c>
      <c r="AC21" s="180">
        <f>SUM('24th'!F66)</f>
        <v>0</v>
      </c>
      <c r="AD21" s="180">
        <f>SUM('25th'!F66)</f>
        <v>0</v>
      </c>
      <c r="AE21" s="180">
        <f>SUM('26th'!F66)</f>
        <v>0</v>
      </c>
      <c r="AF21" s="180">
        <f>SUM('27th'!F66)</f>
        <v>0</v>
      </c>
      <c r="AG21" s="180">
        <f>SUM('28th'!F66)</f>
        <v>0</v>
      </c>
      <c r="AH21" s="180">
        <f>SUM('29th'!F66)</f>
        <v>0</v>
      </c>
      <c r="AI21" s="180">
        <f>SUM('30th'!F66)</f>
        <v>0</v>
      </c>
      <c r="AJ21" s="180">
        <f>SUM('31st'!F66)</f>
        <v>0</v>
      </c>
      <c r="AK21" s="15" t="s">
        <v>18</v>
      </c>
    </row>
    <row r="22" spans="1:37" ht="21" customHeight="1">
      <c r="A22" s="7" t="s">
        <v>13</v>
      </c>
      <c r="B22" s="8">
        <f>SUM('pl budget vs actual'!B48)</f>
        <v>19800</v>
      </c>
      <c r="C22" s="73">
        <f>SUM(B22/B23)</f>
        <v>0.08</v>
      </c>
      <c r="D22" s="74">
        <f>SUM(F22:AJ22)</f>
        <v>0</v>
      </c>
      <c r="E22" s="75">
        <f t="shared" si="2"/>
        <v>19800</v>
      </c>
      <c r="F22" s="201">
        <f>SUM('1st'!F67)</f>
        <v>0</v>
      </c>
      <c r="G22" s="201">
        <f>SUM('2nd'!F67)</f>
        <v>0</v>
      </c>
      <c r="H22" s="9">
        <f>SUM('3rd'!F67)</f>
        <v>0</v>
      </c>
      <c r="I22" s="9">
        <f>SUM('4th'!F67)</f>
        <v>0</v>
      </c>
      <c r="J22" s="70">
        <f>SUM('5th'!F67)</f>
        <v>0</v>
      </c>
      <c r="K22" s="70">
        <f>SUM('6th'!F67)</f>
        <v>0</v>
      </c>
      <c r="L22" s="70">
        <f>SUM('7th'!F67)</f>
        <v>0</v>
      </c>
      <c r="M22" s="70">
        <f>SUM('8th'!F67)</f>
        <v>0</v>
      </c>
      <c r="N22" s="70">
        <f>SUM('9th'!F67)</f>
        <v>0</v>
      </c>
      <c r="O22" s="70">
        <f>SUM('10th'!F67)</f>
        <v>0</v>
      </c>
      <c r="P22" s="70">
        <f>SUM('11th'!F67)</f>
        <v>0</v>
      </c>
      <c r="Q22" s="70">
        <f>SUM('12th'!F67)</f>
        <v>0</v>
      </c>
      <c r="R22" s="70">
        <f>SUM('13th'!F67)</f>
        <v>0</v>
      </c>
      <c r="S22" s="70">
        <f>SUM('14th'!F67)</f>
        <v>0</v>
      </c>
      <c r="T22" s="70">
        <f>SUM('15th'!F67)</f>
        <v>0</v>
      </c>
      <c r="U22" s="70">
        <f>SUM('16th'!F67)</f>
        <v>0</v>
      </c>
      <c r="V22" s="70">
        <f>SUM('17th'!F67)</f>
        <v>0</v>
      </c>
      <c r="W22" s="70">
        <f>SUM('18th'!F67)</f>
        <v>0</v>
      </c>
      <c r="X22" s="70">
        <f>SUM('19th'!F67)</f>
        <v>0</v>
      </c>
      <c r="Y22" s="70">
        <f>SUM('20th'!F67)</f>
        <v>0</v>
      </c>
      <c r="Z22" s="70">
        <f>SUM('21st'!F67)</f>
        <v>0</v>
      </c>
      <c r="AA22" s="70">
        <f>SUM('22nd'!F67)</f>
        <v>0</v>
      </c>
      <c r="AB22" s="70">
        <f>SUM('23rd'!F67)</f>
        <v>0</v>
      </c>
      <c r="AC22" s="70">
        <f>SUM('24th'!F67)</f>
        <v>0</v>
      </c>
      <c r="AD22" s="70">
        <f>SUM('25th'!F67)</f>
        <v>0</v>
      </c>
      <c r="AE22" s="70">
        <f>SUM('26th'!F67)</f>
        <v>0</v>
      </c>
      <c r="AF22" s="70">
        <f>SUM('27th'!F67)</f>
        <v>0</v>
      </c>
      <c r="AG22" s="70">
        <f>SUM('28th'!F67)</f>
        <v>0</v>
      </c>
      <c r="AH22" s="70">
        <f>SUM('29th'!F67)</f>
        <v>0</v>
      </c>
      <c r="AI22" s="70">
        <f>SUM('30th'!F67)</f>
        <v>0</v>
      </c>
      <c r="AJ22" s="70">
        <f>SUM('31st'!F67)</f>
        <v>0</v>
      </c>
      <c r="AK22" s="7" t="s">
        <v>13</v>
      </c>
    </row>
    <row r="23" spans="1:37" ht="21" customHeight="1" thickBot="1">
      <c r="A23" s="10" t="s">
        <v>31</v>
      </c>
      <c r="B23" s="148">
        <f>SUM(B10+B16+B21+B22)</f>
        <v>247500</v>
      </c>
      <c r="C23" s="149">
        <v>0.35</v>
      </c>
      <c r="D23" s="150">
        <f>SUM(D10+D16+D21)</f>
        <v>0</v>
      </c>
      <c r="E23" s="151">
        <f t="shared" si="2"/>
        <v>247500</v>
      </c>
      <c r="F23" s="202">
        <f>SUM(F10+F16+F21+F22)</f>
        <v>0</v>
      </c>
      <c r="G23" s="202">
        <f t="shared" ref="G23:AJ23" si="3">SUM(G10+G16+G21+G22)</f>
        <v>0</v>
      </c>
      <c r="H23" s="202">
        <f t="shared" si="3"/>
        <v>0</v>
      </c>
      <c r="I23" s="202">
        <f t="shared" si="3"/>
        <v>0</v>
      </c>
      <c r="J23" s="202">
        <f t="shared" si="3"/>
        <v>0</v>
      </c>
      <c r="K23" s="202">
        <f t="shared" si="3"/>
        <v>0</v>
      </c>
      <c r="L23" s="202">
        <f t="shared" si="3"/>
        <v>0</v>
      </c>
      <c r="M23" s="202">
        <f t="shared" si="3"/>
        <v>0</v>
      </c>
      <c r="N23" s="202">
        <f t="shared" si="3"/>
        <v>0</v>
      </c>
      <c r="O23" s="202">
        <f t="shared" si="3"/>
        <v>0</v>
      </c>
      <c r="P23" s="202">
        <f t="shared" si="3"/>
        <v>0</v>
      </c>
      <c r="Q23" s="202">
        <f t="shared" si="3"/>
        <v>0</v>
      </c>
      <c r="R23" s="202">
        <f t="shared" si="3"/>
        <v>0</v>
      </c>
      <c r="S23" s="202">
        <f t="shared" si="3"/>
        <v>0</v>
      </c>
      <c r="T23" s="202">
        <f t="shared" si="3"/>
        <v>0</v>
      </c>
      <c r="U23" s="202">
        <f t="shared" si="3"/>
        <v>0</v>
      </c>
      <c r="V23" s="202">
        <f t="shared" si="3"/>
        <v>0</v>
      </c>
      <c r="W23" s="202">
        <f t="shared" si="3"/>
        <v>0</v>
      </c>
      <c r="X23" s="202">
        <f t="shared" si="3"/>
        <v>0</v>
      </c>
      <c r="Y23" s="202">
        <f t="shared" si="3"/>
        <v>0</v>
      </c>
      <c r="Z23" s="202">
        <f t="shared" si="3"/>
        <v>0</v>
      </c>
      <c r="AA23" s="202">
        <f t="shared" si="3"/>
        <v>0</v>
      </c>
      <c r="AB23" s="202">
        <f t="shared" si="3"/>
        <v>0</v>
      </c>
      <c r="AC23" s="202">
        <f t="shared" si="3"/>
        <v>0</v>
      </c>
      <c r="AD23" s="202">
        <f t="shared" si="3"/>
        <v>0</v>
      </c>
      <c r="AE23" s="202">
        <f t="shared" si="3"/>
        <v>0</v>
      </c>
      <c r="AF23" s="202">
        <f t="shared" si="3"/>
        <v>0</v>
      </c>
      <c r="AG23" s="202">
        <f t="shared" si="3"/>
        <v>0</v>
      </c>
      <c r="AH23" s="202">
        <f t="shared" si="3"/>
        <v>0</v>
      </c>
      <c r="AI23" s="202">
        <f t="shared" si="3"/>
        <v>0</v>
      </c>
      <c r="AJ23" s="202">
        <f t="shared" si="3"/>
        <v>0</v>
      </c>
      <c r="AK23" s="10" t="s">
        <v>31</v>
      </c>
    </row>
    <row r="24" spans="1:37" ht="21" customHeight="1" thickBot="1">
      <c r="A24" s="172" t="s">
        <v>32</v>
      </c>
      <c r="B24" s="185"/>
      <c r="C24" s="186"/>
      <c r="D24" s="187"/>
      <c r="E24" s="188"/>
      <c r="F24" s="182"/>
      <c r="G24" s="182"/>
      <c r="H24" s="183"/>
      <c r="I24" s="183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204"/>
      <c r="AK24" s="172" t="s">
        <v>32</v>
      </c>
    </row>
    <row r="25" spans="1:37" ht="21" customHeight="1">
      <c r="A25" s="12" t="s">
        <v>14</v>
      </c>
      <c r="B25" s="13">
        <f>SUM('pl budget vs actual'!B70)</f>
        <v>3712.5</v>
      </c>
      <c r="C25" s="79">
        <f>SUM('pl budget vs actual'!C70)</f>
        <v>0.03</v>
      </c>
      <c r="D25" s="80">
        <f>SUM(F25:AJ25)</f>
        <v>0</v>
      </c>
      <c r="E25" s="81">
        <f t="shared" si="2"/>
        <v>3712.5</v>
      </c>
      <c r="F25" s="201">
        <f>SUM('1st'!F70)</f>
        <v>0</v>
      </c>
      <c r="G25" s="201">
        <f>SUM('2nd'!F70)</f>
        <v>0</v>
      </c>
      <c r="H25" s="9">
        <f>SUM('3rd'!F70)</f>
        <v>0</v>
      </c>
      <c r="I25" s="9">
        <f>SUM('4th'!F70)</f>
        <v>0</v>
      </c>
      <c r="J25" s="70">
        <f>SUM('5th'!F70)</f>
        <v>0</v>
      </c>
      <c r="K25" s="70">
        <f>SUM('6th'!F70)</f>
        <v>0</v>
      </c>
      <c r="L25" s="70">
        <f>SUM('7th'!F70)</f>
        <v>0</v>
      </c>
      <c r="M25" s="70">
        <f>SUM('8th'!F70)</f>
        <v>0</v>
      </c>
      <c r="N25" s="70">
        <f>SUM('9th'!F70)</f>
        <v>0</v>
      </c>
      <c r="O25" s="70">
        <f>SUM('10th'!F70)</f>
        <v>0</v>
      </c>
      <c r="P25" s="70">
        <f>SUM('11th'!F70)</f>
        <v>0</v>
      </c>
      <c r="Q25" s="70">
        <f>SUM('12th'!F70)</f>
        <v>0</v>
      </c>
      <c r="R25" s="70">
        <f>SUM('13th'!F70)</f>
        <v>0</v>
      </c>
      <c r="S25" s="70">
        <f>SUM('14th'!F70)</f>
        <v>0</v>
      </c>
      <c r="T25" s="70">
        <f>SUM('15th'!F70)</f>
        <v>0</v>
      </c>
      <c r="U25" s="70">
        <f>SUM('16th'!F70)</f>
        <v>0</v>
      </c>
      <c r="V25" s="70">
        <f>SUM('17th'!F70)</f>
        <v>0</v>
      </c>
      <c r="W25" s="70">
        <f>SUM('18th'!F70)</f>
        <v>0</v>
      </c>
      <c r="X25" s="70">
        <f>SUM('19th'!F70)</f>
        <v>0</v>
      </c>
      <c r="Y25" s="70">
        <f>SUM('20th'!F70)</f>
        <v>0</v>
      </c>
      <c r="Z25" s="70">
        <f>SUM('21st'!F70)</f>
        <v>0</v>
      </c>
      <c r="AA25" s="70">
        <f>SUM('22nd'!F70)</f>
        <v>0</v>
      </c>
      <c r="AB25" s="70">
        <f>SUM('23rd'!F70)</f>
        <v>0</v>
      </c>
      <c r="AC25" s="70">
        <f>SUM('24th'!F70)</f>
        <v>0</v>
      </c>
      <c r="AD25" s="70">
        <f>SUM('25th'!F70)</f>
        <v>0</v>
      </c>
      <c r="AE25" s="70">
        <f>SUM('26th'!F70)</f>
        <v>0</v>
      </c>
      <c r="AF25" s="70">
        <f>SUM('27th'!F70)</f>
        <v>0</v>
      </c>
      <c r="AG25" s="70">
        <f>SUM('28th'!F70)</f>
        <v>0</v>
      </c>
      <c r="AH25" s="70">
        <f>SUM('29th'!F70)</f>
        <v>0</v>
      </c>
      <c r="AI25" s="70">
        <f>SUM('30th'!F70)</f>
        <v>0</v>
      </c>
      <c r="AJ25" s="70">
        <f>SUM('31st'!F70)</f>
        <v>0</v>
      </c>
      <c r="AK25" s="12" t="s">
        <v>14</v>
      </c>
    </row>
    <row r="26" spans="1:37" ht="21" customHeight="1">
      <c r="A26" s="131" t="s">
        <v>120</v>
      </c>
      <c r="B26" s="8">
        <f>SUM('pl budget vs actual'!B67)</f>
        <v>5362.5</v>
      </c>
      <c r="C26" s="79">
        <f>SUM('pl budget vs actual'!C71)</f>
        <v>0.01</v>
      </c>
      <c r="D26" s="80">
        <f t="shared" ref="D26:D31" si="4">SUM(F26:AJ26)</f>
        <v>0</v>
      </c>
      <c r="E26" s="75">
        <f t="shared" si="2"/>
        <v>5362.5</v>
      </c>
      <c r="F26" s="201">
        <f>SUM('1st'!F71)</f>
        <v>0</v>
      </c>
      <c r="G26" s="201">
        <f>SUM('2nd'!F71)</f>
        <v>0</v>
      </c>
      <c r="H26" s="9">
        <f>SUM('3rd'!F71)</f>
        <v>0</v>
      </c>
      <c r="I26" s="9">
        <f>SUM('4th'!F71)</f>
        <v>0</v>
      </c>
      <c r="J26" s="70">
        <f>SUM('5th'!F71)</f>
        <v>0</v>
      </c>
      <c r="K26" s="70">
        <f>SUM('6th'!F71)</f>
        <v>0</v>
      </c>
      <c r="L26" s="70">
        <f>SUM('7th'!F71)</f>
        <v>0</v>
      </c>
      <c r="M26" s="70">
        <f>SUM('8th'!F71)</f>
        <v>0</v>
      </c>
      <c r="N26" s="70">
        <f>SUM('9th'!F71)</f>
        <v>0</v>
      </c>
      <c r="O26" s="70">
        <f>SUM('10th'!F71)</f>
        <v>0</v>
      </c>
      <c r="P26" s="70">
        <f>SUM('11th'!F71)</f>
        <v>0</v>
      </c>
      <c r="Q26" s="70">
        <f>SUM('12th'!F71)</f>
        <v>0</v>
      </c>
      <c r="R26" s="70">
        <f>SUM('13th'!F71)</f>
        <v>0</v>
      </c>
      <c r="S26" s="70">
        <f>SUM('14th'!F71)</f>
        <v>0</v>
      </c>
      <c r="T26" s="70">
        <f>SUM('15th'!F71)</f>
        <v>0</v>
      </c>
      <c r="U26" s="70">
        <f>SUM('16th'!F71)</f>
        <v>0</v>
      </c>
      <c r="V26" s="70">
        <f>SUM('17th'!F71)</f>
        <v>0</v>
      </c>
      <c r="W26" s="70">
        <f>SUM('18th'!F71)</f>
        <v>0</v>
      </c>
      <c r="X26" s="70">
        <f>SUM('19th'!F71)</f>
        <v>0</v>
      </c>
      <c r="Y26" s="70">
        <f>SUM('20th'!F71)</f>
        <v>0</v>
      </c>
      <c r="Z26" s="70">
        <f>SUM('21st'!F71)</f>
        <v>0</v>
      </c>
      <c r="AA26" s="70">
        <f>SUM('22nd'!F71)</f>
        <v>0</v>
      </c>
      <c r="AB26" s="70">
        <f>SUM('23rd'!F71)</f>
        <v>0</v>
      </c>
      <c r="AC26" s="70">
        <f>SUM('24th'!F71)</f>
        <v>0</v>
      </c>
      <c r="AD26" s="70">
        <f>SUM('25th'!F71)</f>
        <v>0</v>
      </c>
      <c r="AE26" s="70">
        <f>SUM('26th'!F71)</f>
        <v>0</v>
      </c>
      <c r="AF26" s="70">
        <f>SUM('27th'!F71)</f>
        <v>0</v>
      </c>
      <c r="AG26" s="70">
        <f>SUM('28th'!F71)</f>
        <v>0</v>
      </c>
      <c r="AH26" s="70">
        <f>SUM('29th'!F71)</f>
        <v>0</v>
      </c>
      <c r="AI26" s="70">
        <f>SUM('30th'!F71)</f>
        <v>0</v>
      </c>
      <c r="AJ26" s="70">
        <f>SUM('31st'!F71)</f>
        <v>0</v>
      </c>
      <c r="AK26" s="131" t="s">
        <v>120</v>
      </c>
    </row>
    <row r="27" spans="1:37" ht="21" customHeight="1">
      <c r="A27" s="131" t="s">
        <v>121</v>
      </c>
      <c r="B27" s="8">
        <f>SUM('pl budget vs actual'!B66)</f>
        <v>1237.5</v>
      </c>
      <c r="C27" s="73">
        <f>SUM('pl budget vs actual'!C66)</f>
        <v>0.01</v>
      </c>
      <c r="D27" s="80">
        <f t="shared" si="4"/>
        <v>0</v>
      </c>
      <c r="E27" s="75">
        <f t="shared" si="2"/>
        <v>1237.5</v>
      </c>
      <c r="F27" s="201">
        <f>SUM('1st'!F72)</f>
        <v>0</v>
      </c>
      <c r="G27" s="201">
        <f>SUM('2nd'!F72)</f>
        <v>0</v>
      </c>
      <c r="H27" s="9">
        <f>SUM('3rd'!F72)</f>
        <v>0</v>
      </c>
      <c r="I27" s="9">
        <f>SUM('4th'!F72)</f>
        <v>0</v>
      </c>
      <c r="J27" s="70">
        <f>SUM('5th'!F72)</f>
        <v>0</v>
      </c>
      <c r="K27" s="70">
        <f>SUM('6th'!F72)</f>
        <v>0</v>
      </c>
      <c r="L27" s="70">
        <f>SUM('7th'!F72)</f>
        <v>0</v>
      </c>
      <c r="M27" s="70">
        <f>SUM('8th'!F72)</f>
        <v>0</v>
      </c>
      <c r="N27" s="70">
        <f>SUM('9th'!F72)</f>
        <v>0</v>
      </c>
      <c r="O27" s="70">
        <f>SUM('10th'!F72)</f>
        <v>0</v>
      </c>
      <c r="P27" s="70">
        <f>SUM('11th'!F72)</f>
        <v>0</v>
      </c>
      <c r="Q27" s="70">
        <f>SUM('12th'!F72)</f>
        <v>0</v>
      </c>
      <c r="R27" s="70">
        <f>SUM('13th'!F72)</f>
        <v>0</v>
      </c>
      <c r="S27" s="70">
        <f>SUM('14th'!F72)</f>
        <v>0</v>
      </c>
      <c r="T27" s="70">
        <f>SUM('15th'!F72)</f>
        <v>0</v>
      </c>
      <c r="U27" s="70">
        <f>SUM('16th'!F72)</f>
        <v>0</v>
      </c>
      <c r="V27" s="70">
        <f>SUM('17th'!F72)</f>
        <v>0</v>
      </c>
      <c r="W27" s="70">
        <f>SUM('18th'!F72)</f>
        <v>0</v>
      </c>
      <c r="X27" s="70">
        <f>SUM('19th'!F72)</f>
        <v>0</v>
      </c>
      <c r="Y27" s="70">
        <f>SUM('20th'!F72)</f>
        <v>0</v>
      </c>
      <c r="Z27" s="70">
        <f>SUM('21st'!F72)</f>
        <v>0</v>
      </c>
      <c r="AA27" s="70">
        <f>SUM('22nd'!F72)</f>
        <v>0</v>
      </c>
      <c r="AB27" s="70">
        <f>SUM('23rd'!F72)</f>
        <v>0</v>
      </c>
      <c r="AC27" s="70">
        <f>SUM('24th'!F72)</f>
        <v>0</v>
      </c>
      <c r="AD27" s="70">
        <f>SUM('25th'!F72)</f>
        <v>0</v>
      </c>
      <c r="AE27" s="70">
        <f>SUM('26th'!F72)</f>
        <v>0</v>
      </c>
      <c r="AF27" s="70">
        <f>SUM('27th'!F72)</f>
        <v>0</v>
      </c>
      <c r="AG27" s="70">
        <f>SUM('28th'!F72)</f>
        <v>0</v>
      </c>
      <c r="AH27" s="70">
        <f>SUM('29th'!F72)</f>
        <v>0</v>
      </c>
      <c r="AI27" s="70">
        <f>SUM('30th'!F72)</f>
        <v>0</v>
      </c>
      <c r="AJ27" s="70">
        <f>SUM('31st'!F72)</f>
        <v>0</v>
      </c>
      <c r="AK27" s="131" t="s">
        <v>121</v>
      </c>
    </row>
    <row r="28" spans="1:37" ht="21" customHeight="1">
      <c r="A28" s="131" t="s">
        <v>119</v>
      </c>
      <c r="B28" s="8">
        <f>SUM('pl budget vs actual'!B63)</f>
        <v>3712.5</v>
      </c>
      <c r="C28" s="73">
        <f>SUM('pl budget vs actual'!C63)</f>
        <v>0.03</v>
      </c>
      <c r="D28" s="80">
        <f t="shared" si="4"/>
        <v>0</v>
      </c>
      <c r="E28" s="75">
        <f t="shared" si="2"/>
        <v>3712.5</v>
      </c>
      <c r="F28" s="201">
        <f>SUM('1st'!F73)</f>
        <v>0</v>
      </c>
      <c r="G28" s="201">
        <f>SUM('2nd'!F73)</f>
        <v>0</v>
      </c>
      <c r="H28" s="9">
        <f>SUM('3rd'!F73)</f>
        <v>0</v>
      </c>
      <c r="I28" s="9">
        <f>SUM('4th'!F73)</f>
        <v>0</v>
      </c>
      <c r="J28" s="70">
        <f>SUM('5th'!F73)</f>
        <v>0</v>
      </c>
      <c r="K28" s="70">
        <f>SUM('6th'!F73)</f>
        <v>0</v>
      </c>
      <c r="L28" s="70">
        <f>SUM('7th'!F73)</f>
        <v>0</v>
      </c>
      <c r="M28" s="70">
        <f>SUM('8th'!F73)</f>
        <v>0</v>
      </c>
      <c r="N28" s="70">
        <f>SUM('9th'!F73)</f>
        <v>0</v>
      </c>
      <c r="O28" s="70">
        <f>SUM('10th'!F73)</f>
        <v>0</v>
      </c>
      <c r="P28" s="70">
        <f>SUM('11th'!F73)</f>
        <v>0</v>
      </c>
      <c r="Q28" s="70">
        <f>SUM('12th'!F73)</f>
        <v>0</v>
      </c>
      <c r="R28" s="70">
        <f>SUM('13th'!F73)</f>
        <v>0</v>
      </c>
      <c r="S28" s="70">
        <f>SUM('14th'!F73)</f>
        <v>0</v>
      </c>
      <c r="T28" s="70">
        <f>SUM('15th'!F73)</f>
        <v>0</v>
      </c>
      <c r="U28" s="70">
        <f>SUM('16th'!F73)</f>
        <v>0</v>
      </c>
      <c r="V28" s="70">
        <f>SUM('17th'!F73)</f>
        <v>0</v>
      </c>
      <c r="W28" s="70">
        <f>SUM('18th'!F73)</f>
        <v>0</v>
      </c>
      <c r="X28" s="70">
        <f>SUM('19th'!F73)</f>
        <v>0</v>
      </c>
      <c r="Y28" s="70">
        <f>SUM('20th'!F73)</f>
        <v>0</v>
      </c>
      <c r="Z28" s="70">
        <f>SUM('21st'!F73)</f>
        <v>0</v>
      </c>
      <c r="AA28" s="70">
        <f>SUM('22nd'!F73)</f>
        <v>0</v>
      </c>
      <c r="AB28" s="70">
        <f>SUM('23rd'!F73)</f>
        <v>0</v>
      </c>
      <c r="AC28" s="70">
        <f>SUM('24th'!F73)</f>
        <v>0</v>
      </c>
      <c r="AD28" s="70">
        <f>SUM('25th'!F73)</f>
        <v>0</v>
      </c>
      <c r="AE28" s="70">
        <f>SUM('26th'!F73)</f>
        <v>0</v>
      </c>
      <c r="AF28" s="70">
        <f>SUM('27th'!F73)</f>
        <v>0</v>
      </c>
      <c r="AG28" s="70">
        <f>SUM('28th'!F73)</f>
        <v>0</v>
      </c>
      <c r="AH28" s="70">
        <f>SUM('29th'!F73)</f>
        <v>0</v>
      </c>
      <c r="AI28" s="70">
        <f>SUM('30th'!F73)</f>
        <v>0</v>
      </c>
      <c r="AJ28" s="70">
        <f>SUM('31st'!F73)</f>
        <v>0</v>
      </c>
      <c r="AK28" s="131" t="s">
        <v>119</v>
      </c>
    </row>
    <row r="29" spans="1:37" ht="21" customHeight="1">
      <c r="A29" s="131" t="s">
        <v>118</v>
      </c>
      <c r="B29" s="8">
        <f>SUM('pl budget vs actual'!B59)</f>
        <v>3588.7499999999995</v>
      </c>
      <c r="C29" s="73">
        <f>SUM('pl budget vs actual'!C59)</f>
        <v>8.6999999999999994E-2</v>
      </c>
      <c r="D29" s="80">
        <f t="shared" si="4"/>
        <v>0</v>
      </c>
      <c r="E29" s="75">
        <f t="shared" si="2"/>
        <v>3588.7499999999995</v>
      </c>
      <c r="F29" s="201">
        <f>SUM('1st'!F74)</f>
        <v>0</v>
      </c>
      <c r="G29" s="201">
        <f>SUM('2nd'!F74)</f>
        <v>0</v>
      </c>
      <c r="H29" s="9">
        <f>SUM('3rd'!F74)</f>
        <v>0</v>
      </c>
      <c r="I29" s="9">
        <f>SUM('4th'!F74)</f>
        <v>0</v>
      </c>
      <c r="J29" s="70">
        <f>SUM('5th'!F74)</f>
        <v>0</v>
      </c>
      <c r="K29" s="70">
        <f>SUM('6th'!F74)</f>
        <v>0</v>
      </c>
      <c r="L29" s="70">
        <f>SUM('7th'!F74)</f>
        <v>0</v>
      </c>
      <c r="M29" s="70">
        <f>SUM('8th'!F74)</f>
        <v>0</v>
      </c>
      <c r="N29" s="70">
        <f>SUM('9th'!F74)</f>
        <v>0</v>
      </c>
      <c r="O29" s="70">
        <f>SUM('10th'!F74)</f>
        <v>0</v>
      </c>
      <c r="P29" s="70">
        <f>SUM('11th'!F74)</f>
        <v>0</v>
      </c>
      <c r="Q29" s="70">
        <f>SUM('12th'!F74)</f>
        <v>0</v>
      </c>
      <c r="R29" s="70">
        <f>SUM('13th'!F74)</f>
        <v>0</v>
      </c>
      <c r="S29" s="70">
        <f>SUM('14th'!F74)</f>
        <v>0</v>
      </c>
      <c r="T29" s="70">
        <f>SUM('15th'!F74)</f>
        <v>0</v>
      </c>
      <c r="U29" s="70">
        <f>SUM('16th'!F74)</f>
        <v>0</v>
      </c>
      <c r="V29" s="70">
        <f>SUM('17th'!F74)</f>
        <v>0</v>
      </c>
      <c r="W29" s="70">
        <f>SUM('18th'!F74)</f>
        <v>0</v>
      </c>
      <c r="X29" s="70">
        <f>SUM('19th'!F74)</f>
        <v>0</v>
      </c>
      <c r="Y29" s="70">
        <f>SUM('20th'!F74)</f>
        <v>0</v>
      </c>
      <c r="Z29" s="70">
        <f>SUM('21st'!F74)</f>
        <v>0</v>
      </c>
      <c r="AA29" s="70">
        <f>SUM('22nd'!F74)</f>
        <v>0</v>
      </c>
      <c r="AB29" s="70">
        <f>SUM('23rd'!F74)</f>
        <v>0</v>
      </c>
      <c r="AC29" s="70">
        <f>SUM('24th'!F74)</f>
        <v>0</v>
      </c>
      <c r="AD29" s="70">
        <f>SUM('25th'!F74)</f>
        <v>0</v>
      </c>
      <c r="AE29" s="70">
        <f>SUM('26th'!F74)</f>
        <v>0</v>
      </c>
      <c r="AF29" s="70">
        <f>SUM('27th'!F74)</f>
        <v>0</v>
      </c>
      <c r="AG29" s="70">
        <f>SUM('28th'!F74)</f>
        <v>0</v>
      </c>
      <c r="AH29" s="70">
        <f>SUM('29th'!F74)</f>
        <v>0</v>
      </c>
      <c r="AI29" s="70">
        <f>SUM('30th'!F74)</f>
        <v>0</v>
      </c>
      <c r="AJ29" s="70">
        <f>SUM('31st'!F74)</f>
        <v>0</v>
      </c>
      <c r="AK29" s="131" t="s">
        <v>118</v>
      </c>
    </row>
    <row r="30" spans="1:37" ht="21" customHeight="1">
      <c r="A30" s="131" t="s">
        <v>59</v>
      </c>
      <c r="B30" s="8">
        <f>SUM('pl budget vs actual'!B58)</f>
        <v>8250</v>
      </c>
      <c r="C30" s="73">
        <f>SUM('pl budget vs actual'!C58)</f>
        <v>0.2</v>
      </c>
      <c r="D30" s="80">
        <f t="shared" si="4"/>
        <v>0</v>
      </c>
      <c r="E30" s="75">
        <f t="shared" si="2"/>
        <v>8250</v>
      </c>
      <c r="F30" s="201">
        <f>SUM('1st'!F75)</f>
        <v>0</v>
      </c>
      <c r="G30" s="201">
        <f>SUM('2nd'!F75)</f>
        <v>0</v>
      </c>
      <c r="H30" s="9">
        <f>SUM('3rd'!F75)</f>
        <v>0</v>
      </c>
      <c r="I30" s="9">
        <f>SUM('4th'!F75)</f>
        <v>0</v>
      </c>
      <c r="J30" s="70">
        <f>SUM('5th'!F75)</f>
        <v>0</v>
      </c>
      <c r="K30" s="70">
        <f>SUM('6th'!F75)</f>
        <v>0</v>
      </c>
      <c r="L30" s="70">
        <f>SUM('7th'!F75)</f>
        <v>0</v>
      </c>
      <c r="M30" s="70">
        <f>SUM('8th'!F75)</f>
        <v>0</v>
      </c>
      <c r="N30" s="70">
        <f>SUM('9th'!F75)</f>
        <v>0</v>
      </c>
      <c r="O30" s="70">
        <f>SUM('10th'!F75)</f>
        <v>0</v>
      </c>
      <c r="P30" s="70">
        <f>SUM('11th'!F75)</f>
        <v>0</v>
      </c>
      <c r="Q30" s="70">
        <f>SUM('12th'!F75)</f>
        <v>0</v>
      </c>
      <c r="R30" s="70">
        <f>SUM('13th'!F75)</f>
        <v>0</v>
      </c>
      <c r="S30" s="70">
        <f>SUM('14th'!F75)</f>
        <v>0</v>
      </c>
      <c r="T30" s="70">
        <f>SUM('15th'!F75)</f>
        <v>0</v>
      </c>
      <c r="U30" s="70">
        <f>SUM('16th'!F75)</f>
        <v>0</v>
      </c>
      <c r="V30" s="70">
        <f>SUM('17th'!F75)</f>
        <v>0</v>
      </c>
      <c r="W30" s="70">
        <f>SUM('18th'!F75)</f>
        <v>0</v>
      </c>
      <c r="X30" s="70">
        <f>SUM('19th'!F75)</f>
        <v>0</v>
      </c>
      <c r="Y30" s="70">
        <f>SUM('20th'!F75)</f>
        <v>0</v>
      </c>
      <c r="Z30" s="70">
        <f>SUM('21st'!F75)</f>
        <v>0</v>
      </c>
      <c r="AA30" s="70">
        <f>SUM('22nd'!F75)</f>
        <v>0</v>
      </c>
      <c r="AB30" s="70">
        <f>SUM('23rd'!F75)</f>
        <v>0</v>
      </c>
      <c r="AC30" s="70">
        <f>SUM('24th'!F75)</f>
        <v>0</v>
      </c>
      <c r="AD30" s="70">
        <f>SUM('25th'!F75)</f>
        <v>0</v>
      </c>
      <c r="AE30" s="70">
        <f>SUM('26th'!F75)</f>
        <v>0</v>
      </c>
      <c r="AF30" s="70">
        <f>SUM('27th'!F75)</f>
        <v>0</v>
      </c>
      <c r="AG30" s="70">
        <f>SUM('28th'!F75)</f>
        <v>0</v>
      </c>
      <c r="AH30" s="70">
        <f>SUM('29th'!F75)</f>
        <v>0</v>
      </c>
      <c r="AI30" s="70">
        <f>SUM('30th'!F75)</f>
        <v>0</v>
      </c>
      <c r="AJ30" s="70">
        <f>SUM('31st'!F75)</f>
        <v>0</v>
      </c>
      <c r="AK30" s="131" t="s">
        <v>59</v>
      </c>
    </row>
    <row r="31" spans="1:37" ht="21" customHeight="1">
      <c r="A31" s="131" t="s">
        <v>116</v>
      </c>
      <c r="B31" s="8">
        <f>SUM('pl budget vs actual'!B57)</f>
        <v>6187.5</v>
      </c>
      <c r="C31" s="73">
        <f>SUM('pl budget vs actual'!C57)</f>
        <v>0.15</v>
      </c>
      <c r="D31" s="80">
        <f t="shared" si="4"/>
        <v>0</v>
      </c>
      <c r="E31" s="75">
        <f t="shared" si="2"/>
        <v>6187.5</v>
      </c>
      <c r="F31" s="201">
        <f>SUM('1st'!F76)</f>
        <v>0</v>
      </c>
      <c r="G31" s="201">
        <f>SUM('2nd'!F76)</f>
        <v>0</v>
      </c>
      <c r="H31" s="9">
        <f>SUM('3rd'!F76)</f>
        <v>0</v>
      </c>
      <c r="I31" s="9">
        <f>SUM('4th'!F76)</f>
        <v>0</v>
      </c>
      <c r="J31" s="70">
        <f>SUM('5th'!F76)</f>
        <v>0</v>
      </c>
      <c r="K31" s="70">
        <f>SUM('6th'!F76)</f>
        <v>0</v>
      </c>
      <c r="L31" s="70">
        <f>SUM('7th'!F76)</f>
        <v>0</v>
      </c>
      <c r="M31" s="70">
        <f>SUM('8th'!F76)</f>
        <v>0</v>
      </c>
      <c r="N31" s="70">
        <f>SUM('9th'!F76)</f>
        <v>0</v>
      </c>
      <c r="O31" s="70">
        <f>SUM('10th'!F76)</f>
        <v>0</v>
      </c>
      <c r="P31" s="70">
        <f>SUM('11th'!F76)</f>
        <v>0</v>
      </c>
      <c r="Q31" s="70">
        <f>SUM('12th'!F76)</f>
        <v>0</v>
      </c>
      <c r="R31" s="70">
        <f>SUM('13th'!F76)</f>
        <v>0</v>
      </c>
      <c r="S31" s="70">
        <f>SUM('14th'!F76)</f>
        <v>0</v>
      </c>
      <c r="T31" s="70">
        <f>SUM('15th'!F76)</f>
        <v>0</v>
      </c>
      <c r="U31" s="70">
        <f>SUM('16th'!F76)</f>
        <v>0</v>
      </c>
      <c r="V31" s="70">
        <f>SUM('17th'!F76)</f>
        <v>0</v>
      </c>
      <c r="W31" s="70">
        <f>SUM('18th'!F76)</f>
        <v>0</v>
      </c>
      <c r="X31" s="70">
        <f>SUM('19th'!F76)</f>
        <v>0</v>
      </c>
      <c r="Y31" s="70">
        <f>SUM('20th'!F76)</f>
        <v>0</v>
      </c>
      <c r="Z31" s="70">
        <f>SUM('21st'!F76)</f>
        <v>0</v>
      </c>
      <c r="AA31" s="70">
        <f>SUM('22nd'!F76)</f>
        <v>0</v>
      </c>
      <c r="AB31" s="70">
        <f>SUM('23rd'!F76)</f>
        <v>0</v>
      </c>
      <c r="AC31" s="70">
        <f>SUM('24th'!F76)</f>
        <v>0</v>
      </c>
      <c r="AD31" s="70">
        <f>SUM('25th'!F76)</f>
        <v>0</v>
      </c>
      <c r="AE31" s="70">
        <f>SUM('26th'!F76)</f>
        <v>0</v>
      </c>
      <c r="AF31" s="70">
        <f>SUM('27th'!F76)</f>
        <v>0</v>
      </c>
      <c r="AG31" s="70">
        <f>SUM('28th'!F76)</f>
        <v>0</v>
      </c>
      <c r="AH31" s="70">
        <f>SUM('29th'!F76)</f>
        <v>0</v>
      </c>
      <c r="AI31" s="70">
        <f>SUM('30th'!F76)</f>
        <v>0</v>
      </c>
      <c r="AJ31" s="70">
        <f>SUM('31st'!F76)</f>
        <v>0</v>
      </c>
      <c r="AK31" s="131" t="s">
        <v>116</v>
      </c>
    </row>
    <row r="32" spans="1:37" s="181" customFormat="1" ht="21" customHeight="1">
      <c r="A32" s="205"/>
      <c r="B32" s="206"/>
      <c r="C32" s="207"/>
      <c r="D32" s="208"/>
      <c r="E32" s="209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O68"/>
  <sheetViews>
    <sheetView topLeftCell="A51" zoomScale="85" zoomScaleNormal="85" workbookViewId="0">
      <selection activeCell="A3" sqref="A3"/>
    </sheetView>
  </sheetViews>
  <sheetFormatPr defaultColWidth="9.140625" defaultRowHeight="12.75"/>
  <cols>
    <col min="1" max="1" width="30.5703125" customWidth="1"/>
    <col min="2" max="2" width="10.5703125" style="231" customWidth="1"/>
    <col min="3" max="5" width="10.5703125" style="216" hidden="1" customWidth="1"/>
    <col min="6" max="6" width="6.7109375" customWidth="1"/>
    <col min="7" max="7" width="7" hidden="1" customWidth="1"/>
    <col min="8" max="8" width="7" customWidth="1"/>
    <col min="9" max="9" width="7" hidden="1" customWidth="1"/>
    <col min="10" max="10" width="7" customWidth="1"/>
    <col min="11" max="11" width="7" hidden="1" customWidth="1"/>
    <col min="12" max="12" width="7" customWidth="1"/>
    <col min="13" max="13" width="7" hidden="1" customWidth="1"/>
    <col min="14" max="14" width="7" customWidth="1"/>
    <col min="15" max="15" width="7" hidden="1" customWidth="1"/>
    <col min="16" max="16" width="7" customWidth="1"/>
    <col min="17" max="17" width="7" hidden="1" customWidth="1"/>
    <col min="18" max="18" width="7" customWidth="1"/>
    <col min="19" max="19" width="7" hidden="1" customWidth="1"/>
    <col min="20" max="20" width="7" customWidth="1"/>
    <col min="21" max="21" width="7" hidden="1" customWidth="1"/>
    <col min="22" max="22" width="7" customWidth="1"/>
    <col min="23" max="23" width="7" hidden="1" customWidth="1"/>
    <col min="24" max="24" width="7" customWidth="1"/>
    <col min="25" max="25" width="7" hidden="1" customWidth="1"/>
    <col min="26" max="26" width="7" customWidth="1"/>
    <col min="27" max="27" width="7" hidden="1" customWidth="1"/>
    <col min="28" max="28" width="7" customWidth="1"/>
    <col min="29" max="29" width="7" hidden="1" customWidth="1"/>
    <col min="30" max="30" width="7" customWidth="1"/>
    <col min="31" max="31" width="7" hidden="1" customWidth="1"/>
    <col min="32" max="32" width="7" customWidth="1"/>
    <col min="33" max="33" width="7" hidden="1" customWidth="1"/>
    <col min="34" max="34" width="7" customWidth="1"/>
    <col min="35" max="35" width="7" hidden="1" customWidth="1"/>
    <col min="36" max="36" width="7" customWidth="1"/>
    <col min="37" max="37" width="7" hidden="1" customWidth="1"/>
    <col min="38" max="38" width="7" customWidth="1"/>
    <col min="39" max="39" width="7" hidden="1" customWidth="1"/>
    <col min="40" max="40" width="7" customWidth="1"/>
    <col min="41" max="41" width="7" hidden="1" customWidth="1"/>
    <col min="42" max="42" width="7" customWidth="1"/>
    <col min="43" max="43" width="7" hidden="1" customWidth="1"/>
    <col min="44" max="44" width="7" customWidth="1"/>
    <col min="45" max="45" width="7" hidden="1" customWidth="1"/>
    <col min="46" max="46" width="7" customWidth="1"/>
    <col min="47" max="47" width="7" hidden="1" customWidth="1"/>
    <col min="48" max="48" width="7" customWidth="1"/>
    <col min="49" max="49" width="7" hidden="1" customWidth="1"/>
    <col min="50" max="50" width="7" customWidth="1"/>
    <col min="51" max="51" width="7" hidden="1" customWidth="1"/>
    <col min="52" max="52" width="7" customWidth="1"/>
    <col min="53" max="53" width="7" hidden="1" customWidth="1"/>
    <col min="54" max="54" width="7" customWidth="1"/>
    <col min="55" max="55" width="7" hidden="1" customWidth="1"/>
    <col min="56" max="56" width="7" customWidth="1"/>
    <col min="57" max="57" width="7" hidden="1" customWidth="1"/>
    <col min="58" max="58" width="7" customWidth="1"/>
    <col min="59" max="59" width="7.5703125" hidden="1" customWidth="1"/>
    <col min="60" max="60" width="7" customWidth="1"/>
    <col min="61" max="61" width="7" hidden="1" customWidth="1"/>
    <col min="62" max="62" width="7" customWidth="1"/>
    <col min="63" max="63" width="7" hidden="1" customWidth="1"/>
    <col min="64" max="64" width="7" customWidth="1"/>
    <col min="65" max="65" width="7" hidden="1" customWidth="1"/>
    <col min="66" max="66" width="7" customWidth="1"/>
    <col min="67" max="67" width="0" hidden="1" customWidth="1"/>
  </cols>
  <sheetData>
    <row r="1" spans="1:67" s="221" customFormat="1">
      <c r="B1" s="228"/>
      <c r="C1" s="222"/>
      <c r="D1" s="222"/>
      <c r="E1" s="222"/>
      <c r="F1" s="221">
        <f>SUM('Tills in a glance'!C1)</f>
        <v>45870</v>
      </c>
      <c r="H1" s="221">
        <f>SUM(F1+1)</f>
        <v>45871</v>
      </c>
      <c r="J1" s="221">
        <f>SUM(H1+1)</f>
        <v>45872</v>
      </c>
      <c r="L1" s="221">
        <f>SUM(J1+1)</f>
        <v>45873</v>
      </c>
      <c r="N1" s="221">
        <f>SUM(L1+1)</f>
        <v>45874</v>
      </c>
      <c r="P1" s="221">
        <f>SUM(N1+1)</f>
        <v>45875</v>
      </c>
      <c r="R1" s="221">
        <f>SUM(P1+1)</f>
        <v>45876</v>
      </c>
      <c r="T1" s="221">
        <f>SUM(R1+1)</f>
        <v>45877</v>
      </c>
      <c r="V1" s="221">
        <f>SUM(T1+1)</f>
        <v>45878</v>
      </c>
      <c r="X1" s="221">
        <f>SUM(V1+1)</f>
        <v>45879</v>
      </c>
      <c r="Z1" s="221">
        <f>SUM(X1+1)</f>
        <v>45880</v>
      </c>
      <c r="AB1" s="221">
        <f>SUM(Z1+1)</f>
        <v>45881</v>
      </c>
      <c r="AD1" s="221">
        <f>SUM(AB1+1)</f>
        <v>45882</v>
      </c>
      <c r="AF1" s="221">
        <f>SUM(AD1+1)</f>
        <v>45883</v>
      </c>
      <c r="AH1" s="221">
        <f>SUM(AF1+1)</f>
        <v>45884</v>
      </c>
      <c r="AJ1" s="221">
        <f>SUM(AH1+1)</f>
        <v>45885</v>
      </c>
      <c r="AL1" s="221">
        <f>SUM(AJ1+1)</f>
        <v>45886</v>
      </c>
      <c r="AN1" s="221">
        <f>SUM(AL1+1)</f>
        <v>45887</v>
      </c>
      <c r="AP1" s="221">
        <f>SUM(AN1+1)</f>
        <v>45888</v>
      </c>
      <c r="AR1" s="221">
        <f>SUM(AP1+1)</f>
        <v>45889</v>
      </c>
      <c r="AT1" s="221">
        <f>SUM(AR1+1)</f>
        <v>45890</v>
      </c>
      <c r="AV1" s="221">
        <f>SUM(AT1+1)</f>
        <v>45891</v>
      </c>
      <c r="AX1" s="221">
        <f>SUM(AV1+1)</f>
        <v>45892</v>
      </c>
      <c r="AZ1" s="221">
        <f>SUM(AX1+1)</f>
        <v>45893</v>
      </c>
      <c r="BB1" s="221">
        <f>SUM(AZ1+1)</f>
        <v>45894</v>
      </c>
      <c r="BD1" s="221">
        <f>SUM(BB1+1)</f>
        <v>45895</v>
      </c>
      <c r="BF1" s="221">
        <f>SUM(BD1+1)</f>
        <v>45896</v>
      </c>
      <c r="BH1" s="221">
        <f>SUM(BF1+1)</f>
        <v>45897</v>
      </c>
      <c r="BJ1" s="221">
        <f>SUM(BH1+1)</f>
        <v>45898</v>
      </c>
      <c r="BL1" s="221">
        <f>SUM(BJ1+1)</f>
        <v>45899</v>
      </c>
      <c r="BN1" s="221">
        <f>SUM(BL1+1)</f>
        <v>45900</v>
      </c>
    </row>
    <row r="2" spans="1:67">
      <c r="A2" s="217" t="s">
        <v>132</v>
      </c>
      <c r="B2" s="229" t="s">
        <v>131</v>
      </c>
      <c r="C2" s="218" t="s">
        <v>133</v>
      </c>
      <c r="D2" s="218"/>
      <c r="E2" s="218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</row>
    <row r="3" spans="1:67">
      <c r="A3" s="232"/>
      <c r="B3" s="668"/>
      <c r="C3" s="219">
        <f>B3*7/100</f>
        <v>0</v>
      </c>
      <c r="D3" s="219">
        <f t="shared" ref="D3:D8" si="0">SUM(B3+C3)</f>
        <v>0</v>
      </c>
      <c r="E3" s="219"/>
      <c r="F3" s="220"/>
      <c r="G3" s="220">
        <f>SUM(D3*F3)</f>
        <v>0</v>
      </c>
      <c r="H3" s="220"/>
      <c r="I3" s="220">
        <f>SUM(D3*H3)</f>
        <v>0</v>
      </c>
      <c r="J3" s="220"/>
      <c r="K3" s="220">
        <f>SUM(J3*D3)</f>
        <v>0</v>
      </c>
      <c r="L3" s="220"/>
      <c r="M3" s="220">
        <f>SUM(D3*L3)</f>
        <v>0</v>
      </c>
      <c r="N3" s="220"/>
      <c r="O3" s="220">
        <f>SUM(N3*D3)</f>
        <v>0</v>
      </c>
      <c r="P3" s="220"/>
      <c r="Q3" s="220">
        <f>SUM(P3*D3)</f>
        <v>0</v>
      </c>
      <c r="R3" s="220"/>
      <c r="S3" s="220">
        <f>SUM(R3*D3)</f>
        <v>0</v>
      </c>
      <c r="T3" s="220"/>
      <c r="U3" s="220">
        <f>SUM(T3*D3)</f>
        <v>0</v>
      </c>
      <c r="V3" s="220"/>
      <c r="W3" s="220">
        <f>SUM(V3*D3)</f>
        <v>0</v>
      </c>
      <c r="X3" s="220"/>
      <c r="Y3" s="220">
        <f>SUM(W3*D3)</f>
        <v>0</v>
      </c>
      <c r="Z3" s="220"/>
      <c r="AA3" s="220">
        <f>SUM(Z3*D3)</f>
        <v>0</v>
      </c>
      <c r="AB3" s="220"/>
      <c r="AC3" s="220">
        <f>SUM(AB3*D3)</f>
        <v>0</v>
      </c>
      <c r="AD3" s="220"/>
      <c r="AE3" s="220">
        <f>SUM(AD3*D3)</f>
        <v>0</v>
      </c>
      <c r="AF3" s="220"/>
      <c r="AG3" s="220">
        <f>SUM(AF3*D3)</f>
        <v>0</v>
      </c>
      <c r="AH3" s="220"/>
      <c r="AI3" s="220">
        <f>SUM(AH3*D3)</f>
        <v>0</v>
      </c>
      <c r="AJ3" s="220"/>
      <c r="AK3" s="220">
        <f>SUM(AJ3*D3)</f>
        <v>0</v>
      </c>
      <c r="AL3" s="220"/>
      <c r="AM3" s="220">
        <f>SUM(AL3*D3)</f>
        <v>0</v>
      </c>
      <c r="AN3" s="220"/>
      <c r="AO3" s="220">
        <f>SUM(AN3*D3)</f>
        <v>0</v>
      </c>
      <c r="AP3" s="220"/>
      <c r="AQ3" s="220">
        <f>SUM(AP3*D3)</f>
        <v>0</v>
      </c>
      <c r="AR3" s="220"/>
      <c r="AS3" s="220">
        <f>SUM(AR3*D3)</f>
        <v>0</v>
      </c>
      <c r="AT3" s="220"/>
      <c r="AU3" s="220">
        <f>SUM(AT3*D3)</f>
        <v>0</v>
      </c>
      <c r="AV3" s="220"/>
      <c r="AW3" s="220">
        <f>SUM(AV3*D3)</f>
        <v>0</v>
      </c>
      <c r="AX3" s="220"/>
      <c r="AY3" s="220">
        <f>SUM(AX3*D3)</f>
        <v>0</v>
      </c>
      <c r="AZ3" s="220"/>
      <c r="BA3" s="220">
        <f>SUM(AZ3*D3)</f>
        <v>0</v>
      </c>
      <c r="BB3" s="220"/>
      <c r="BC3" s="220">
        <f>SUM(BB3*D3)</f>
        <v>0</v>
      </c>
      <c r="BD3" s="220"/>
      <c r="BE3" s="220">
        <f>SUM(BD3*D3)</f>
        <v>0</v>
      </c>
      <c r="BF3" s="220"/>
      <c r="BG3" s="220">
        <f>SUM(BF3*D3)</f>
        <v>0</v>
      </c>
      <c r="BH3" s="220"/>
      <c r="BI3" s="220">
        <f>SUM(BH3*D3)</f>
        <v>0</v>
      </c>
      <c r="BJ3" s="220"/>
      <c r="BK3" s="220">
        <f>SUM(BJ3*D3)</f>
        <v>0</v>
      </c>
      <c r="BL3" s="220"/>
      <c r="BM3" s="220">
        <f>SUM(BL3*D3)</f>
        <v>0</v>
      </c>
      <c r="BN3" s="220"/>
      <c r="BO3" s="220">
        <f>SUM(BN3*D3)</f>
        <v>0</v>
      </c>
    </row>
    <row r="4" spans="1:67">
      <c r="A4" s="232"/>
      <c r="B4" s="668"/>
      <c r="C4" s="219">
        <f t="shared" ref="C4:C11" si="1">SUM(B4*7/100)</f>
        <v>0</v>
      </c>
      <c r="D4" s="219">
        <f t="shared" si="0"/>
        <v>0</v>
      </c>
      <c r="E4" s="219"/>
      <c r="F4" s="220"/>
      <c r="G4" s="220">
        <f>SUM(D4*F4)</f>
        <v>0</v>
      </c>
      <c r="H4" s="220"/>
      <c r="I4" s="220">
        <f t="shared" ref="I4:I66" si="2">SUM(D4*H4)</f>
        <v>0</v>
      </c>
      <c r="J4" s="220"/>
      <c r="K4" s="220">
        <f t="shared" ref="K4:K66" si="3">SUM(J4*D4)</f>
        <v>0</v>
      </c>
      <c r="L4" s="220"/>
      <c r="M4" s="220">
        <f t="shared" ref="M4:M66" si="4">SUM(D4*L4)</f>
        <v>0</v>
      </c>
      <c r="N4" s="220"/>
      <c r="O4" s="220">
        <f t="shared" ref="O4:O66" si="5">SUM(N4*D4)</f>
        <v>0</v>
      </c>
      <c r="P4" s="220"/>
      <c r="Q4" s="220">
        <f t="shared" ref="Q4:Q65" si="6">SUM(P4*D4)</f>
        <v>0</v>
      </c>
      <c r="R4" s="220"/>
      <c r="S4" s="220">
        <f t="shared" ref="S4:S66" si="7">SUM(R4*D4)</f>
        <v>0</v>
      </c>
      <c r="T4" s="220"/>
      <c r="U4" s="220">
        <f t="shared" ref="U4:U66" si="8">SUM(T4*D4)</f>
        <v>0</v>
      </c>
      <c r="V4" s="220"/>
      <c r="W4" s="220">
        <f t="shared" ref="W4:W66" si="9">SUM(V4*D4)</f>
        <v>0</v>
      </c>
      <c r="X4" s="220"/>
      <c r="Y4" s="220">
        <f t="shared" ref="Y4:Y66" si="10">SUM(W4*D4)</f>
        <v>0</v>
      </c>
      <c r="Z4" s="220"/>
      <c r="AA4" s="220">
        <f t="shared" ref="AA4:AA66" si="11">SUM(Z4*D4)</f>
        <v>0</v>
      </c>
      <c r="AB4" s="220"/>
      <c r="AC4" s="220">
        <f t="shared" ref="AC4:AC66" si="12">SUM(AB4*D4)</f>
        <v>0</v>
      </c>
      <c r="AD4" s="220"/>
      <c r="AE4" s="220">
        <f t="shared" ref="AE4:AE66" si="13">SUM(AD4*D4)</f>
        <v>0</v>
      </c>
      <c r="AF4" s="220"/>
      <c r="AG4" s="220">
        <f t="shared" ref="AG4:AG66" si="14">SUM(AF4*D4)</f>
        <v>0</v>
      </c>
      <c r="AH4" s="220"/>
      <c r="AI4" s="220">
        <f t="shared" ref="AI4:AI66" si="15">SUM(AH4*D4)</f>
        <v>0</v>
      </c>
      <c r="AJ4" s="220"/>
      <c r="AK4" s="220">
        <f t="shared" ref="AK4:AK66" si="16">SUM(AJ4*D4)</f>
        <v>0</v>
      </c>
      <c r="AL4" s="220"/>
      <c r="AM4" s="220">
        <f t="shared" ref="AM4:AM66" si="17">SUM(AL4*D4)</f>
        <v>0</v>
      </c>
      <c r="AN4" s="220"/>
      <c r="AO4" s="220">
        <f t="shared" ref="AO4:AO66" si="18">SUM(AN4*D4)</f>
        <v>0</v>
      </c>
      <c r="AP4" s="220"/>
      <c r="AQ4" s="220">
        <f t="shared" ref="AQ4:AQ66" si="19">SUM(AP4*D4)</f>
        <v>0</v>
      </c>
      <c r="AR4" s="220"/>
      <c r="AS4" s="220">
        <f t="shared" ref="AS4:AS66" si="20">SUM(AR4*D4)</f>
        <v>0</v>
      </c>
      <c r="AT4" s="220"/>
      <c r="AU4" s="220">
        <f t="shared" ref="AU4:AU66" si="21">SUM(AT4*D4)</f>
        <v>0</v>
      </c>
      <c r="AV4" s="220"/>
      <c r="AW4" s="220">
        <f t="shared" ref="AW4:AW66" si="22">SUM(AV4*D4)</f>
        <v>0</v>
      </c>
      <c r="AX4" s="220"/>
      <c r="AY4" s="220">
        <f t="shared" ref="AY4:AY66" si="23">SUM(AX4*D4)</f>
        <v>0</v>
      </c>
      <c r="AZ4" s="220"/>
      <c r="BA4" s="220">
        <f t="shared" ref="BA4:BA66" si="24">SUM(AZ4*D4)</f>
        <v>0</v>
      </c>
      <c r="BB4" s="220"/>
      <c r="BC4" s="220">
        <f t="shared" ref="BC4:BC66" si="25">SUM(BB4*D4)</f>
        <v>0</v>
      </c>
      <c r="BD4" s="220"/>
      <c r="BE4" s="220">
        <f t="shared" ref="BE4:BE66" si="26">SUM(BD4*D4)</f>
        <v>0</v>
      </c>
      <c r="BF4" s="220"/>
      <c r="BG4" s="220">
        <f t="shared" ref="BG4:BG66" si="27">SUM(BF4*D4)</f>
        <v>0</v>
      </c>
      <c r="BH4" s="220"/>
      <c r="BI4" s="220">
        <f t="shared" ref="BI4:BI66" si="28">SUM(BH4*D4)</f>
        <v>0</v>
      </c>
      <c r="BJ4" s="220"/>
      <c r="BK4" s="220">
        <f t="shared" ref="BK4:BK66" si="29">SUM(BJ4*D4)</f>
        <v>0</v>
      </c>
      <c r="BL4" s="220"/>
      <c r="BM4" s="220">
        <f t="shared" ref="BM4:BM66" si="30">SUM(BL4*D4)</f>
        <v>0</v>
      </c>
      <c r="BN4" s="220"/>
      <c r="BO4" s="220">
        <f t="shared" ref="BO4:BO66" si="31">SUM(BN4*D4)</f>
        <v>0</v>
      </c>
    </row>
    <row r="5" spans="1:67">
      <c r="A5" s="232"/>
      <c r="B5" s="668"/>
      <c r="C5" s="219">
        <f t="shared" si="1"/>
        <v>0</v>
      </c>
      <c r="D5" s="219">
        <f t="shared" si="0"/>
        <v>0</v>
      </c>
      <c r="E5" s="219"/>
      <c r="F5" s="220"/>
      <c r="G5" s="220">
        <f t="shared" ref="G5:G66" si="32">SUM(D5*F5)</f>
        <v>0</v>
      </c>
      <c r="H5" s="220"/>
      <c r="I5" s="220">
        <f t="shared" si="2"/>
        <v>0</v>
      </c>
      <c r="J5" s="220"/>
      <c r="K5" s="220">
        <f t="shared" si="3"/>
        <v>0</v>
      </c>
      <c r="L5" s="220"/>
      <c r="M5" s="220">
        <f t="shared" si="4"/>
        <v>0</v>
      </c>
      <c r="N5" s="220"/>
      <c r="O5" s="220">
        <f t="shared" si="5"/>
        <v>0</v>
      </c>
      <c r="P5" s="220"/>
      <c r="Q5" s="220">
        <f t="shared" si="6"/>
        <v>0</v>
      </c>
      <c r="R5" s="220"/>
      <c r="S5" s="220">
        <f t="shared" si="7"/>
        <v>0</v>
      </c>
      <c r="T5" s="220"/>
      <c r="U5" s="220">
        <f t="shared" si="8"/>
        <v>0</v>
      </c>
      <c r="V5" s="220"/>
      <c r="W5" s="220">
        <f t="shared" si="9"/>
        <v>0</v>
      </c>
      <c r="X5" s="220"/>
      <c r="Y5" s="220">
        <f t="shared" si="10"/>
        <v>0</v>
      </c>
      <c r="Z5" s="220"/>
      <c r="AA5" s="220">
        <f t="shared" si="11"/>
        <v>0</v>
      </c>
      <c r="AB5" s="220"/>
      <c r="AC5" s="220">
        <f t="shared" si="12"/>
        <v>0</v>
      </c>
      <c r="AD5" s="220"/>
      <c r="AE5" s="220">
        <f t="shared" si="13"/>
        <v>0</v>
      </c>
      <c r="AF5" s="220"/>
      <c r="AG5" s="220">
        <f t="shared" si="14"/>
        <v>0</v>
      </c>
      <c r="AH5" s="220"/>
      <c r="AI5" s="220">
        <f t="shared" si="15"/>
        <v>0</v>
      </c>
      <c r="AJ5" s="220"/>
      <c r="AK5" s="220">
        <f t="shared" si="16"/>
        <v>0</v>
      </c>
      <c r="AL5" s="220"/>
      <c r="AM5" s="220">
        <f t="shared" si="17"/>
        <v>0</v>
      </c>
      <c r="AN5" s="220"/>
      <c r="AO5" s="220">
        <f t="shared" si="18"/>
        <v>0</v>
      </c>
      <c r="AP5" s="220"/>
      <c r="AQ5" s="220">
        <f t="shared" si="19"/>
        <v>0</v>
      </c>
      <c r="AR5" s="220"/>
      <c r="AS5" s="220">
        <f t="shared" si="20"/>
        <v>0</v>
      </c>
      <c r="AT5" s="220"/>
      <c r="AU5" s="220">
        <f t="shared" si="21"/>
        <v>0</v>
      </c>
      <c r="AV5" s="220"/>
      <c r="AW5" s="220">
        <f t="shared" si="22"/>
        <v>0</v>
      </c>
      <c r="AX5" s="220"/>
      <c r="AY5" s="220">
        <f t="shared" si="23"/>
        <v>0</v>
      </c>
      <c r="AZ5" s="220"/>
      <c r="BA5" s="220">
        <f t="shared" si="24"/>
        <v>0</v>
      </c>
      <c r="BB5" s="220"/>
      <c r="BC5" s="220">
        <f t="shared" si="25"/>
        <v>0</v>
      </c>
      <c r="BD5" s="220"/>
      <c r="BE5" s="220">
        <f t="shared" si="26"/>
        <v>0</v>
      </c>
      <c r="BF5" s="220"/>
      <c r="BG5" s="220">
        <f t="shared" si="27"/>
        <v>0</v>
      </c>
      <c r="BH5" s="220"/>
      <c r="BI5" s="220">
        <f t="shared" si="28"/>
        <v>0</v>
      </c>
      <c r="BJ5" s="220"/>
      <c r="BK5" s="220">
        <f t="shared" si="29"/>
        <v>0</v>
      </c>
      <c r="BL5" s="220"/>
      <c r="BM5" s="220">
        <f t="shared" si="30"/>
        <v>0</v>
      </c>
      <c r="BN5" s="220"/>
      <c r="BO5" s="220">
        <f t="shared" si="31"/>
        <v>0</v>
      </c>
    </row>
    <row r="6" spans="1:67">
      <c r="A6" s="232"/>
      <c r="B6" s="668"/>
      <c r="C6" s="219">
        <f t="shared" si="1"/>
        <v>0</v>
      </c>
      <c r="D6" s="219">
        <f t="shared" si="0"/>
        <v>0</v>
      </c>
      <c r="E6" s="219"/>
      <c r="F6" s="220"/>
      <c r="G6" s="220">
        <f t="shared" si="32"/>
        <v>0</v>
      </c>
      <c r="H6" s="220"/>
      <c r="I6" s="220">
        <f t="shared" si="2"/>
        <v>0</v>
      </c>
      <c r="J6" s="220"/>
      <c r="K6" s="220">
        <f t="shared" si="3"/>
        <v>0</v>
      </c>
      <c r="L6" s="220"/>
      <c r="M6" s="220">
        <f t="shared" si="4"/>
        <v>0</v>
      </c>
      <c r="N6" s="220"/>
      <c r="O6" s="220">
        <f t="shared" si="5"/>
        <v>0</v>
      </c>
      <c r="P6" s="220"/>
      <c r="Q6" s="220">
        <f t="shared" si="6"/>
        <v>0</v>
      </c>
      <c r="R6" s="220"/>
      <c r="S6" s="220">
        <f t="shared" si="7"/>
        <v>0</v>
      </c>
      <c r="T6" s="220"/>
      <c r="U6" s="220">
        <f t="shared" si="8"/>
        <v>0</v>
      </c>
      <c r="V6" s="220"/>
      <c r="W6" s="220">
        <f t="shared" si="9"/>
        <v>0</v>
      </c>
      <c r="X6" s="220"/>
      <c r="Y6" s="220">
        <f t="shared" si="10"/>
        <v>0</v>
      </c>
      <c r="Z6" s="220"/>
      <c r="AA6" s="220">
        <f t="shared" si="11"/>
        <v>0</v>
      </c>
      <c r="AB6" s="220"/>
      <c r="AC6" s="220">
        <f t="shared" si="12"/>
        <v>0</v>
      </c>
      <c r="AD6" s="220"/>
      <c r="AE6" s="220">
        <f t="shared" si="13"/>
        <v>0</v>
      </c>
      <c r="AF6" s="220"/>
      <c r="AG6" s="220">
        <f t="shared" si="14"/>
        <v>0</v>
      </c>
      <c r="AH6" s="220"/>
      <c r="AI6" s="220">
        <f t="shared" si="15"/>
        <v>0</v>
      </c>
      <c r="AJ6" s="220"/>
      <c r="AK6" s="220">
        <f t="shared" si="16"/>
        <v>0</v>
      </c>
      <c r="AL6" s="220"/>
      <c r="AM6" s="220">
        <f t="shared" si="17"/>
        <v>0</v>
      </c>
      <c r="AN6" s="220"/>
      <c r="AO6" s="220">
        <f t="shared" si="18"/>
        <v>0</v>
      </c>
      <c r="AP6" s="220"/>
      <c r="AQ6" s="220">
        <f t="shared" si="19"/>
        <v>0</v>
      </c>
      <c r="AR6" s="220"/>
      <c r="AS6" s="220">
        <f t="shared" si="20"/>
        <v>0</v>
      </c>
      <c r="AT6" s="220"/>
      <c r="AU6" s="220">
        <f t="shared" si="21"/>
        <v>0</v>
      </c>
      <c r="AV6" s="220"/>
      <c r="AW6" s="220">
        <f t="shared" si="22"/>
        <v>0</v>
      </c>
      <c r="AX6" s="220"/>
      <c r="AY6" s="220">
        <f t="shared" si="23"/>
        <v>0</v>
      </c>
      <c r="AZ6" s="220"/>
      <c r="BA6" s="220">
        <f t="shared" si="24"/>
        <v>0</v>
      </c>
      <c r="BB6" s="220"/>
      <c r="BC6" s="220">
        <f t="shared" si="25"/>
        <v>0</v>
      </c>
      <c r="BD6" s="220"/>
      <c r="BE6" s="220">
        <f t="shared" si="26"/>
        <v>0</v>
      </c>
      <c r="BF6" s="220"/>
      <c r="BG6" s="220">
        <f t="shared" si="27"/>
        <v>0</v>
      </c>
      <c r="BH6" s="220"/>
      <c r="BI6" s="220">
        <f t="shared" si="28"/>
        <v>0</v>
      </c>
      <c r="BJ6" s="220"/>
      <c r="BK6" s="220">
        <f t="shared" si="29"/>
        <v>0</v>
      </c>
      <c r="BL6" s="220"/>
      <c r="BM6" s="220">
        <f t="shared" si="30"/>
        <v>0</v>
      </c>
      <c r="BN6" s="220"/>
      <c r="BO6" s="220">
        <f t="shared" si="31"/>
        <v>0</v>
      </c>
    </row>
    <row r="7" spans="1:67">
      <c r="A7" s="232"/>
      <c r="B7" s="668"/>
      <c r="C7" s="219">
        <f t="shared" si="1"/>
        <v>0</v>
      </c>
      <c r="D7" s="219">
        <f t="shared" si="0"/>
        <v>0</v>
      </c>
      <c r="E7" s="219"/>
      <c r="F7" s="220"/>
      <c r="G7" s="220">
        <f t="shared" si="32"/>
        <v>0</v>
      </c>
      <c r="H7" s="220"/>
      <c r="I7" s="220">
        <f t="shared" si="2"/>
        <v>0</v>
      </c>
      <c r="J7" s="220"/>
      <c r="K7" s="220">
        <f t="shared" si="3"/>
        <v>0</v>
      </c>
      <c r="L7" s="220"/>
      <c r="M7" s="220">
        <f t="shared" si="4"/>
        <v>0</v>
      </c>
      <c r="N7" s="220"/>
      <c r="O7" s="220">
        <f t="shared" si="5"/>
        <v>0</v>
      </c>
      <c r="P7" s="220"/>
      <c r="Q7" s="220">
        <f t="shared" si="6"/>
        <v>0</v>
      </c>
      <c r="R7" s="220"/>
      <c r="S7" s="220">
        <f t="shared" si="7"/>
        <v>0</v>
      </c>
      <c r="T7" s="220"/>
      <c r="U7" s="220">
        <f t="shared" si="8"/>
        <v>0</v>
      </c>
      <c r="V7" s="220"/>
      <c r="W7" s="220">
        <f t="shared" si="9"/>
        <v>0</v>
      </c>
      <c r="X7" s="220"/>
      <c r="Y7" s="220">
        <f t="shared" si="10"/>
        <v>0</v>
      </c>
      <c r="Z7" s="220"/>
      <c r="AA7" s="220">
        <f t="shared" si="11"/>
        <v>0</v>
      </c>
      <c r="AB7" s="220"/>
      <c r="AC7" s="220">
        <f t="shared" si="12"/>
        <v>0</v>
      </c>
      <c r="AD7" s="220"/>
      <c r="AE7" s="220">
        <f t="shared" si="13"/>
        <v>0</v>
      </c>
      <c r="AF7" s="220"/>
      <c r="AG7" s="220">
        <f t="shared" si="14"/>
        <v>0</v>
      </c>
      <c r="AH7" s="220"/>
      <c r="AI7" s="220">
        <f t="shared" si="15"/>
        <v>0</v>
      </c>
      <c r="AJ7" s="220"/>
      <c r="AK7" s="220">
        <f t="shared" si="16"/>
        <v>0</v>
      </c>
      <c r="AL7" s="220"/>
      <c r="AM7" s="220">
        <f t="shared" si="17"/>
        <v>0</v>
      </c>
      <c r="AN7" s="220"/>
      <c r="AO7" s="220">
        <f t="shared" si="18"/>
        <v>0</v>
      </c>
      <c r="AP7" s="220"/>
      <c r="AQ7" s="220">
        <f t="shared" si="19"/>
        <v>0</v>
      </c>
      <c r="AR7" s="220"/>
      <c r="AS7" s="220">
        <f t="shared" si="20"/>
        <v>0</v>
      </c>
      <c r="AT7" s="220"/>
      <c r="AU7" s="220">
        <f t="shared" si="21"/>
        <v>0</v>
      </c>
      <c r="AV7" s="220"/>
      <c r="AW7" s="220">
        <f t="shared" si="22"/>
        <v>0</v>
      </c>
      <c r="AX7" s="220"/>
      <c r="AY7" s="220">
        <f t="shared" si="23"/>
        <v>0</v>
      </c>
      <c r="AZ7" s="220"/>
      <c r="BA7" s="220">
        <f t="shared" si="24"/>
        <v>0</v>
      </c>
      <c r="BB7" s="220"/>
      <c r="BC7" s="220">
        <f t="shared" si="25"/>
        <v>0</v>
      </c>
      <c r="BD7" s="220"/>
      <c r="BE7" s="220">
        <f t="shared" si="26"/>
        <v>0</v>
      </c>
      <c r="BF7" s="220"/>
      <c r="BG7" s="220">
        <f t="shared" si="27"/>
        <v>0</v>
      </c>
      <c r="BH7" s="220"/>
      <c r="BI7" s="220">
        <f t="shared" si="28"/>
        <v>0</v>
      </c>
      <c r="BJ7" s="220"/>
      <c r="BK7" s="220">
        <f t="shared" si="29"/>
        <v>0</v>
      </c>
      <c r="BL7" s="220"/>
      <c r="BM7" s="220">
        <f t="shared" si="30"/>
        <v>0</v>
      </c>
      <c r="BN7" s="220"/>
      <c r="BO7" s="220">
        <f t="shared" si="31"/>
        <v>0</v>
      </c>
    </row>
    <row r="8" spans="1:67">
      <c r="A8" s="232"/>
      <c r="B8" s="668"/>
      <c r="C8" s="219">
        <f t="shared" si="1"/>
        <v>0</v>
      </c>
      <c r="D8" s="219">
        <f t="shared" si="0"/>
        <v>0</v>
      </c>
      <c r="E8" s="219"/>
      <c r="F8" s="220"/>
      <c r="G8" s="220">
        <f t="shared" si="32"/>
        <v>0</v>
      </c>
      <c r="H8" s="220"/>
      <c r="I8" s="220">
        <f t="shared" si="2"/>
        <v>0</v>
      </c>
      <c r="J8" s="220"/>
      <c r="K8" s="220">
        <f t="shared" si="3"/>
        <v>0</v>
      </c>
      <c r="L8" s="220"/>
      <c r="M8" s="220">
        <f t="shared" si="4"/>
        <v>0</v>
      </c>
      <c r="N8" s="220"/>
      <c r="O8" s="220">
        <f t="shared" si="5"/>
        <v>0</v>
      </c>
      <c r="P8" s="220"/>
      <c r="Q8" s="220">
        <f t="shared" si="6"/>
        <v>0</v>
      </c>
      <c r="R8" s="220"/>
      <c r="S8" s="220">
        <f t="shared" si="7"/>
        <v>0</v>
      </c>
      <c r="T8" s="220"/>
      <c r="U8" s="220">
        <f t="shared" si="8"/>
        <v>0</v>
      </c>
      <c r="V8" s="220"/>
      <c r="W8" s="220">
        <f t="shared" si="9"/>
        <v>0</v>
      </c>
      <c r="X8" s="220"/>
      <c r="Y8" s="220">
        <f t="shared" si="10"/>
        <v>0</v>
      </c>
      <c r="Z8" s="220"/>
      <c r="AA8" s="220">
        <f t="shared" si="11"/>
        <v>0</v>
      </c>
      <c r="AB8" s="220"/>
      <c r="AC8" s="220">
        <f t="shared" si="12"/>
        <v>0</v>
      </c>
      <c r="AD8" s="220"/>
      <c r="AE8" s="220">
        <f t="shared" si="13"/>
        <v>0</v>
      </c>
      <c r="AF8" s="220"/>
      <c r="AG8" s="220">
        <f t="shared" si="14"/>
        <v>0</v>
      </c>
      <c r="AH8" s="220"/>
      <c r="AI8" s="220">
        <f t="shared" si="15"/>
        <v>0</v>
      </c>
      <c r="AJ8" s="220"/>
      <c r="AK8" s="220">
        <f t="shared" si="16"/>
        <v>0</v>
      </c>
      <c r="AL8" s="220"/>
      <c r="AM8" s="220">
        <f t="shared" si="17"/>
        <v>0</v>
      </c>
      <c r="AN8" s="220"/>
      <c r="AO8" s="220">
        <f t="shared" si="18"/>
        <v>0</v>
      </c>
      <c r="AP8" s="220"/>
      <c r="AQ8" s="220">
        <f t="shared" si="19"/>
        <v>0</v>
      </c>
      <c r="AR8" s="220"/>
      <c r="AS8" s="220">
        <f t="shared" si="20"/>
        <v>0</v>
      </c>
      <c r="AT8" s="220"/>
      <c r="AU8" s="220">
        <f t="shared" si="21"/>
        <v>0</v>
      </c>
      <c r="AV8" s="220"/>
      <c r="AW8" s="220">
        <f t="shared" si="22"/>
        <v>0</v>
      </c>
      <c r="AX8" s="220"/>
      <c r="AY8" s="220">
        <f t="shared" si="23"/>
        <v>0</v>
      </c>
      <c r="AZ8" s="220"/>
      <c r="BA8" s="220">
        <f t="shared" si="24"/>
        <v>0</v>
      </c>
      <c r="BB8" s="220"/>
      <c r="BC8" s="220">
        <f t="shared" si="25"/>
        <v>0</v>
      </c>
      <c r="BD8" s="220"/>
      <c r="BE8" s="220">
        <f t="shared" si="26"/>
        <v>0</v>
      </c>
      <c r="BF8" s="220"/>
      <c r="BG8" s="220">
        <f t="shared" si="27"/>
        <v>0</v>
      </c>
      <c r="BH8" s="220"/>
      <c r="BI8" s="220">
        <f t="shared" si="28"/>
        <v>0</v>
      </c>
      <c r="BJ8" s="220"/>
      <c r="BK8" s="220">
        <f t="shared" si="29"/>
        <v>0</v>
      </c>
      <c r="BL8" s="220"/>
      <c r="BM8" s="220">
        <f t="shared" si="30"/>
        <v>0</v>
      </c>
      <c r="BN8" s="220"/>
      <c r="BO8" s="220">
        <f t="shared" si="31"/>
        <v>0</v>
      </c>
    </row>
    <row r="9" spans="1:67">
      <c r="A9" s="232"/>
      <c r="B9" s="668"/>
      <c r="C9" s="219">
        <f t="shared" si="1"/>
        <v>0</v>
      </c>
      <c r="D9" s="219">
        <f t="shared" ref="D9" si="33">B9+C9</f>
        <v>0</v>
      </c>
      <c r="E9" s="219"/>
      <c r="F9" s="220"/>
      <c r="G9" s="220">
        <f t="shared" si="32"/>
        <v>0</v>
      </c>
      <c r="H9" s="220"/>
      <c r="I9" s="220">
        <f t="shared" si="2"/>
        <v>0</v>
      </c>
      <c r="J9" s="220"/>
      <c r="K9" s="220">
        <f t="shared" si="3"/>
        <v>0</v>
      </c>
      <c r="L9" s="220"/>
      <c r="M9" s="220">
        <f t="shared" si="4"/>
        <v>0</v>
      </c>
      <c r="N9" s="220"/>
      <c r="O9" s="220">
        <f t="shared" si="5"/>
        <v>0</v>
      </c>
      <c r="P9" s="220"/>
      <c r="Q9" s="220">
        <f t="shared" si="6"/>
        <v>0</v>
      </c>
      <c r="R9" s="220"/>
      <c r="S9" s="220">
        <f t="shared" si="7"/>
        <v>0</v>
      </c>
      <c r="T9" s="220"/>
      <c r="U9" s="220">
        <f t="shared" si="8"/>
        <v>0</v>
      </c>
      <c r="V9" s="220"/>
      <c r="W9" s="220">
        <f t="shared" si="9"/>
        <v>0</v>
      </c>
      <c r="X9" s="220"/>
      <c r="Y9" s="220">
        <f t="shared" si="10"/>
        <v>0</v>
      </c>
      <c r="Z9" s="220"/>
      <c r="AA9" s="220">
        <f t="shared" si="11"/>
        <v>0</v>
      </c>
      <c r="AB9" s="220"/>
      <c r="AC9" s="220">
        <f t="shared" si="12"/>
        <v>0</v>
      </c>
      <c r="AD9" s="220"/>
      <c r="AE9" s="220">
        <f t="shared" si="13"/>
        <v>0</v>
      </c>
      <c r="AF9" s="220"/>
      <c r="AG9" s="220">
        <f t="shared" si="14"/>
        <v>0</v>
      </c>
      <c r="AH9" s="220"/>
      <c r="AI9" s="220">
        <f t="shared" si="15"/>
        <v>0</v>
      </c>
      <c r="AJ9" s="220"/>
      <c r="AK9" s="220">
        <f t="shared" si="16"/>
        <v>0</v>
      </c>
      <c r="AL9" s="220"/>
      <c r="AM9" s="220">
        <f t="shared" si="17"/>
        <v>0</v>
      </c>
      <c r="AN9" s="220"/>
      <c r="AO9" s="220">
        <f t="shared" si="18"/>
        <v>0</v>
      </c>
      <c r="AP9" s="220"/>
      <c r="AQ9" s="220">
        <f t="shared" si="19"/>
        <v>0</v>
      </c>
      <c r="AR9" s="220"/>
      <c r="AS9" s="220">
        <f t="shared" si="20"/>
        <v>0</v>
      </c>
      <c r="AT9" s="220"/>
      <c r="AU9" s="220">
        <f t="shared" si="21"/>
        <v>0</v>
      </c>
      <c r="AV9" s="220"/>
      <c r="AW9" s="220">
        <f t="shared" si="22"/>
        <v>0</v>
      </c>
      <c r="AX9" s="220"/>
      <c r="AY9" s="220">
        <f t="shared" si="23"/>
        <v>0</v>
      </c>
      <c r="AZ9" s="220"/>
      <c r="BA9" s="220">
        <f t="shared" si="24"/>
        <v>0</v>
      </c>
      <c r="BB9" s="220"/>
      <c r="BC9" s="220">
        <f t="shared" si="25"/>
        <v>0</v>
      </c>
      <c r="BD9" s="220"/>
      <c r="BE9" s="220">
        <f t="shared" si="26"/>
        <v>0</v>
      </c>
      <c r="BF9" s="220"/>
      <c r="BG9" s="220">
        <f t="shared" si="27"/>
        <v>0</v>
      </c>
      <c r="BH9" s="220"/>
      <c r="BI9" s="220">
        <f t="shared" si="28"/>
        <v>0</v>
      </c>
      <c r="BJ9" s="220"/>
      <c r="BK9" s="220">
        <f t="shared" si="29"/>
        <v>0</v>
      </c>
      <c r="BL9" s="220"/>
      <c r="BM9" s="220">
        <f t="shared" si="30"/>
        <v>0</v>
      </c>
      <c r="BN9" s="220"/>
      <c r="BO9" s="220">
        <f t="shared" si="31"/>
        <v>0</v>
      </c>
    </row>
    <row r="10" spans="1:67">
      <c r="A10" s="232"/>
      <c r="B10" s="668"/>
      <c r="C10" s="219">
        <f t="shared" si="1"/>
        <v>0</v>
      </c>
      <c r="D10" s="219">
        <f t="shared" ref="D10:D51" si="34">B10+C10</f>
        <v>0</v>
      </c>
      <c r="E10" s="219"/>
      <c r="F10" s="220"/>
      <c r="G10" s="220">
        <f t="shared" si="32"/>
        <v>0</v>
      </c>
      <c r="H10" s="220"/>
      <c r="I10" s="220">
        <f t="shared" si="2"/>
        <v>0</v>
      </c>
      <c r="J10" s="220"/>
      <c r="K10" s="220">
        <f t="shared" si="3"/>
        <v>0</v>
      </c>
      <c r="L10" s="220"/>
      <c r="M10" s="220">
        <f t="shared" si="4"/>
        <v>0</v>
      </c>
      <c r="N10" s="220"/>
      <c r="O10" s="220">
        <f t="shared" si="5"/>
        <v>0</v>
      </c>
      <c r="P10" s="220"/>
      <c r="Q10" s="220">
        <f t="shared" si="6"/>
        <v>0</v>
      </c>
      <c r="R10" s="220"/>
      <c r="S10" s="220">
        <f t="shared" si="7"/>
        <v>0</v>
      </c>
      <c r="T10" s="220"/>
      <c r="U10" s="220">
        <f t="shared" si="8"/>
        <v>0</v>
      </c>
      <c r="V10" s="220"/>
      <c r="W10" s="220">
        <f t="shared" si="9"/>
        <v>0</v>
      </c>
      <c r="X10" s="220"/>
      <c r="Y10" s="220">
        <f t="shared" si="10"/>
        <v>0</v>
      </c>
      <c r="Z10" s="220"/>
      <c r="AA10" s="220">
        <f t="shared" si="11"/>
        <v>0</v>
      </c>
      <c r="AB10" s="220"/>
      <c r="AC10" s="220">
        <f t="shared" si="12"/>
        <v>0</v>
      </c>
      <c r="AD10" s="220"/>
      <c r="AE10" s="220">
        <f t="shared" si="13"/>
        <v>0</v>
      </c>
      <c r="AF10" s="220"/>
      <c r="AG10" s="220">
        <f t="shared" si="14"/>
        <v>0</v>
      </c>
      <c r="AH10" s="220"/>
      <c r="AI10" s="220">
        <f t="shared" si="15"/>
        <v>0</v>
      </c>
      <c r="AJ10" s="220"/>
      <c r="AK10" s="220">
        <f t="shared" si="16"/>
        <v>0</v>
      </c>
      <c r="AL10" s="220"/>
      <c r="AM10" s="220">
        <f t="shared" si="17"/>
        <v>0</v>
      </c>
      <c r="AN10" s="220"/>
      <c r="AO10" s="220">
        <f t="shared" si="18"/>
        <v>0</v>
      </c>
      <c r="AP10" s="220"/>
      <c r="AQ10" s="220">
        <f t="shared" si="19"/>
        <v>0</v>
      </c>
      <c r="AR10" s="220"/>
      <c r="AS10" s="220">
        <f t="shared" si="20"/>
        <v>0</v>
      </c>
      <c r="AT10" s="220"/>
      <c r="AU10" s="220">
        <f t="shared" si="21"/>
        <v>0</v>
      </c>
      <c r="AV10" s="220"/>
      <c r="AW10" s="220">
        <f t="shared" si="22"/>
        <v>0</v>
      </c>
      <c r="AX10" s="220"/>
      <c r="AY10" s="220">
        <f t="shared" si="23"/>
        <v>0</v>
      </c>
      <c r="AZ10" s="220"/>
      <c r="BA10" s="220">
        <f t="shared" si="24"/>
        <v>0</v>
      </c>
      <c r="BB10" s="220"/>
      <c r="BC10" s="220">
        <f t="shared" si="25"/>
        <v>0</v>
      </c>
      <c r="BD10" s="220"/>
      <c r="BE10" s="220">
        <f t="shared" si="26"/>
        <v>0</v>
      </c>
      <c r="BF10" s="220"/>
      <c r="BG10" s="220">
        <f t="shared" si="27"/>
        <v>0</v>
      </c>
      <c r="BH10" s="220"/>
      <c r="BI10" s="220">
        <f t="shared" si="28"/>
        <v>0</v>
      </c>
      <c r="BJ10" s="220"/>
      <c r="BK10" s="220">
        <f t="shared" si="29"/>
        <v>0</v>
      </c>
      <c r="BL10" s="220"/>
      <c r="BM10" s="220">
        <f t="shared" si="30"/>
        <v>0</v>
      </c>
      <c r="BN10" s="220"/>
      <c r="BO10" s="220">
        <f t="shared" si="31"/>
        <v>0</v>
      </c>
    </row>
    <row r="11" spans="1:67">
      <c r="A11" s="232"/>
      <c r="B11" s="668"/>
      <c r="C11" s="219">
        <f t="shared" si="1"/>
        <v>0</v>
      </c>
      <c r="D11" s="219">
        <f t="shared" si="34"/>
        <v>0</v>
      </c>
      <c r="E11" s="219"/>
      <c r="F11" s="220"/>
      <c r="G11" s="220">
        <f t="shared" si="32"/>
        <v>0</v>
      </c>
      <c r="H11" s="220"/>
      <c r="I11" s="220">
        <f t="shared" si="2"/>
        <v>0</v>
      </c>
      <c r="J11" s="220"/>
      <c r="K11" s="220">
        <f t="shared" si="3"/>
        <v>0</v>
      </c>
      <c r="L11" s="220"/>
      <c r="M11" s="220">
        <f t="shared" si="4"/>
        <v>0</v>
      </c>
      <c r="N11" s="220"/>
      <c r="O11" s="220">
        <f t="shared" si="5"/>
        <v>0</v>
      </c>
      <c r="P11" s="220"/>
      <c r="Q11" s="220">
        <f t="shared" si="6"/>
        <v>0</v>
      </c>
      <c r="R11" s="220"/>
      <c r="S11" s="220">
        <f t="shared" si="7"/>
        <v>0</v>
      </c>
      <c r="T11" s="220"/>
      <c r="U11" s="220">
        <f t="shared" si="8"/>
        <v>0</v>
      </c>
      <c r="V11" s="220"/>
      <c r="W11" s="220">
        <f t="shared" si="9"/>
        <v>0</v>
      </c>
      <c r="X11" s="220"/>
      <c r="Y11" s="220">
        <f t="shared" si="10"/>
        <v>0</v>
      </c>
      <c r="Z11" s="220"/>
      <c r="AA11" s="220">
        <f t="shared" si="11"/>
        <v>0</v>
      </c>
      <c r="AB11" s="220"/>
      <c r="AC11" s="220">
        <f t="shared" si="12"/>
        <v>0</v>
      </c>
      <c r="AD11" s="220"/>
      <c r="AE11" s="220">
        <f t="shared" si="13"/>
        <v>0</v>
      </c>
      <c r="AF11" s="220"/>
      <c r="AG11" s="220">
        <f t="shared" si="14"/>
        <v>0</v>
      </c>
      <c r="AH11" s="220"/>
      <c r="AI11" s="220">
        <f t="shared" si="15"/>
        <v>0</v>
      </c>
      <c r="AJ11" s="220"/>
      <c r="AK11" s="220">
        <f t="shared" si="16"/>
        <v>0</v>
      </c>
      <c r="AL11" s="220"/>
      <c r="AM11" s="220">
        <f t="shared" si="17"/>
        <v>0</v>
      </c>
      <c r="AN11" s="220"/>
      <c r="AO11" s="220">
        <f t="shared" si="18"/>
        <v>0</v>
      </c>
      <c r="AP11" s="220"/>
      <c r="AQ11" s="220">
        <f t="shared" si="19"/>
        <v>0</v>
      </c>
      <c r="AR11" s="220"/>
      <c r="AS11" s="220">
        <f t="shared" si="20"/>
        <v>0</v>
      </c>
      <c r="AT11" s="220"/>
      <c r="AU11" s="220">
        <f t="shared" si="21"/>
        <v>0</v>
      </c>
      <c r="AV11" s="220"/>
      <c r="AW11" s="220">
        <f t="shared" si="22"/>
        <v>0</v>
      </c>
      <c r="AX11" s="220"/>
      <c r="AY11" s="220">
        <f t="shared" si="23"/>
        <v>0</v>
      </c>
      <c r="AZ11" s="220"/>
      <c r="BA11" s="220">
        <f t="shared" si="24"/>
        <v>0</v>
      </c>
      <c r="BB11" s="220"/>
      <c r="BC11" s="220">
        <f t="shared" si="25"/>
        <v>0</v>
      </c>
      <c r="BD11" s="220"/>
      <c r="BE11" s="220">
        <f t="shared" si="26"/>
        <v>0</v>
      </c>
      <c r="BF11" s="220"/>
      <c r="BG11" s="220">
        <f t="shared" si="27"/>
        <v>0</v>
      </c>
      <c r="BH11" s="220"/>
      <c r="BI11" s="220">
        <f t="shared" si="28"/>
        <v>0</v>
      </c>
      <c r="BJ11" s="220"/>
      <c r="BK11" s="220">
        <f t="shared" si="29"/>
        <v>0</v>
      </c>
      <c r="BL11" s="220"/>
      <c r="BM11" s="220">
        <f t="shared" si="30"/>
        <v>0</v>
      </c>
      <c r="BN11" s="220"/>
      <c r="BO11" s="220">
        <f t="shared" si="31"/>
        <v>0</v>
      </c>
    </row>
    <row r="12" spans="1:67">
      <c r="A12" s="232"/>
      <c r="B12" s="668"/>
      <c r="C12" s="219">
        <f t="shared" ref="C12:C67" si="35">SUM(B12*7/100)</f>
        <v>0</v>
      </c>
      <c r="D12" s="219">
        <f t="shared" si="34"/>
        <v>0</v>
      </c>
      <c r="E12" s="219"/>
      <c r="F12" s="220"/>
      <c r="G12" s="220">
        <f t="shared" si="32"/>
        <v>0</v>
      </c>
      <c r="H12" s="220"/>
      <c r="I12" s="220">
        <f t="shared" si="2"/>
        <v>0</v>
      </c>
      <c r="J12" s="220"/>
      <c r="K12" s="220">
        <f t="shared" si="3"/>
        <v>0</v>
      </c>
      <c r="L12" s="220"/>
      <c r="M12" s="220">
        <f t="shared" si="4"/>
        <v>0</v>
      </c>
      <c r="N12" s="220"/>
      <c r="O12" s="220">
        <f t="shared" si="5"/>
        <v>0</v>
      </c>
      <c r="P12" s="220"/>
      <c r="Q12" s="220">
        <f t="shared" si="6"/>
        <v>0</v>
      </c>
      <c r="R12" s="220"/>
      <c r="S12" s="220">
        <f t="shared" si="7"/>
        <v>0</v>
      </c>
      <c r="T12" s="220"/>
      <c r="U12" s="220">
        <f t="shared" si="8"/>
        <v>0</v>
      </c>
      <c r="V12" s="220"/>
      <c r="W12" s="220">
        <f t="shared" si="9"/>
        <v>0</v>
      </c>
      <c r="X12" s="220"/>
      <c r="Y12" s="220">
        <f t="shared" si="10"/>
        <v>0</v>
      </c>
      <c r="Z12" s="220"/>
      <c r="AA12" s="220">
        <f t="shared" si="11"/>
        <v>0</v>
      </c>
      <c r="AB12" s="220"/>
      <c r="AC12" s="220">
        <f t="shared" si="12"/>
        <v>0</v>
      </c>
      <c r="AD12" s="220"/>
      <c r="AE12" s="220">
        <f t="shared" si="13"/>
        <v>0</v>
      </c>
      <c r="AF12" s="220"/>
      <c r="AG12" s="220">
        <f t="shared" si="14"/>
        <v>0</v>
      </c>
      <c r="AH12" s="220"/>
      <c r="AI12" s="220">
        <f t="shared" si="15"/>
        <v>0</v>
      </c>
      <c r="AJ12" s="220"/>
      <c r="AK12" s="220">
        <f t="shared" si="16"/>
        <v>0</v>
      </c>
      <c r="AL12" s="220"/>
      <c r="AM12" s="220">
        <f t="shared" si="17"/>
        <v>0</v>
      </c>
      <c r="AN12" s="220"/>
      <c r="AO12" s="220">
        <f t="shared" si="18"/>
        <v>0</v>
      </c>
      <c r="AP12" s="220"/>
      <c r="AQ12" s="220">
        <f t="shared" si="19"/>
        <v>0</v>
      </c>
      <c r="AR12" s="220"/>
      <c r="AS12" s="220">
        <f t="shared" si="20"/>
        <v>0</v>
      </c>
      <c r="AT12" s="220"/>
      <c r="AU12" s="220">
        <f t="shared" si="21"/>
        <v>0</v>
      </c>
      <c r="AV12" s="220"/>
      <c r="AW12" s="220">
        <f t="shared" si="22"/>
        <v>0</v>
      </c>
      <c r="AX12" s="220"/>
      <c r="AY12" s="220">
        <f t="shared" si="23"/>
        <v>0</v>
      </c>
      <c r="AZ12" s="220"/>
      <c r="BA12" s="220">
        <f t="shared" si="24"/>
        <v>0</v>
      </c>
      <c r="BB12" s="220"/>
      <c r="BC12" s="220">
        <f t="shared" si="25"/>
        <v>0</v>
      </c>
      <c r="BD12" s="220"/>
      <c r="BE12" s="220">
        <f t="shared" si="26"/>
        <v>0</v>
      </c>
      <c r="BF12" s="220"/>
      <c r="BG12" s="220">
        <f t="shared" si="27"/>
        <v>0</v>
      </c>
      <c r="BH12" s="220"/>
      <c r="BI12" s="220">
        <f t="shared" si="28"/>
        <v>0</v>
      </c>
      <c r="BJ12" s="220"/>
      <c r="BK12" s="220">
        <f t="shared" si="29"/>
        <v>0</v>
      </c>
      <c r="BL12" s="220"/>
      <c r="BM12" s="220">
        <f t="shared" si="30"/>
        <v>0</v>
      </c>
      <c r="BN12" s="220"/>
      <c r="BO12" s="220">
        <f t="shared" si="31"/>
        <v>0</v>
      </c>
    </row>
    <row r="13" spans="1:67">
      <c r="A13" s="232"/>
      <c r="B13" s="668"/>
      <c r="C13" s="219">
        <f t="shared" ref="C13:C47" si="36">SUM(B13*7/100)</f>
        <v>0</v>
      </c>
      <c r="D13" s="219">
        <f t="shared" si="34"/>
        <v>0</v>
      </c>
      <c r="E13" s="219"/>
      <c r="F13" s="220"/>
      <c r="G13" s="220">
        <f t="shared" si="32"/>
        <v>0</v>
      </c>
      <c r="H13" s="220"/>
      <c r="I13" s="220">
        <f t="shared" si="2"/>
        <v>0</v>
      </c>
      <c r="J13" s="220"/>
      <c r="K13" s="220">
        <f t="shared" si="3"/>
        <v>0</v>
      </c>
      <c r="L13" s="220"/>
      <c r="M13" s="220">
        <f t="shared" si="4"/>
        <v>0</v>
      </c>
      <c r="N13" s="220"/>
      <c r="O13" s="220">
        <f t="shared" si="5"/>
        <v>0</v>
      </c>
      <c r="P13" s="220"/>
      <c r="Q13" s="220">
        <f t="shared" si="6"/>
        <v>0</v>
      </c>
      <c r="R13" s="220"/>
      <c r="S13" s="220">
        <f t="shared" si="7"/>
        <v>0</v>
      </c>
      <c r="T13" s="220"/>
      <c r="U13" s="220">
        <f t="shared" si="8"/>
        <v>0</v>
      </c>
      <c r="V13" s="220"/>
      <c r="W13" s="220">
        <f t="shared" si="9"/>
        <v>0</v>
      </c>
      <c r="X13" s="220"/>
      <c r="Y13" s="220">
        <f t="shared" si="10"/>
        <v>0</v>
      </c>
      <c r="Z13" s="220"/>
      <c r="AA13" s="220">
        <f t="shared" si="11"/>
        <v>0</v>
      </c>
      <c r="AB13" s="220"/>
      <c r="AC13" s="220">
        <f t="shared" si="12"/>
        <v>0</v>
      </c>
      <c r="AD13" s="220"/>
      <c r="AE13" s="220">
        <f t="shared" si="13"/>
        <v>0</v>
      </c>
      <c r="AF13" s="220"/>
      <c r="AG13" s="220">
        <f t="shared" si="14"/>
        <v>0</v>
      </c>
      <c r="AH13" s="220"/>
      <c r="AI13" s="220">
        <f t="shared" si="15"/>
        <v>0</v>
      </c>
      <c r="AJ13" s="220"/>
      <c r="AK13" s="220">
        <f t="shared" si="16"/>
        <v>0</v>
      </c>
      <c r="AL13" s="220"/>
      <c r="AM13" s="220">
        <f t="shared" si="17"/>
        <v>0</v>
      </c>
      <c r="AN13" s="220"/>
      <c r="AO13" s="220">
        <f t="shared" si="18"/>
        <v>0</v>
      </c>
      <c r="AP13" s="220"/>
      <c r="AQ13" s="220">
        <f t="shared" si="19"/>
        <v>0</v>
      </c>
      <c r="AR13" s="220"/>
      <c r="AS13" s="220">
        <f t="shared" si="20"/>
        <v>0</v>
      </c>
      <c r="AT13" s="220"/>
      <c r="AU13" s="220">
        <f t="shared" si="21"/>
        <v>0</v>
      </c>
      <c r="AV13" s="220"/>
      <c r="AW13" s="220">
        <f t="shared" si="22"/>
        <v>0</v>
      </c>
      <c r="AX13" s="220"/>
      <c r="AY13" s="220">
        <f t="shared" si="23"/>
        <v>0</v>
      </c>
      <c r="AZ13" s="220"/>
      <c r="BA13" s="220">
        <f t="shared" si="24"/>
        <v>0</v>
      </c>
      <c r="BB13" s="220"/>
      <c r="BC13" s="220">
        <f t="shared" si="25"/>
        <v>0</v>
      </c>
      <c r="BD13" s="220"/>
      <c r="BE13" s="220">
        <f t="shared" si="26"/>
        <v>0</v>
      </c>
      <c r="BF13" s="220"/>
      <c r="BG13" s="220">
        <f t="shared" si="27"/>
        <v>0</v>
      </c>
      <c r="BH13" s="220"/>
      <c r="BI13" s="220">
        <f t="shared" si="28"/>
        <v>0</v>
      </c>
      <c r="BJ13" s="220"/>
      <c r="BK13" s="220">
        <f t="shared" si="29"/>
        <v>0</v>
      </c>
      <c r="BL13" s="220"/>
      <c r="BM13" s="220">
        <f t="shared" si="30"/>
        <v>0</v>
      </c>
      <c r="BN13" s="220"/>
      <c r="BO13" s="220">
        <f t="shared" si="31"/>
        <v>0</v>
      </c>
    </row>
    <row r="14" spans="1:67">
      <c r="A14" s="232"/>
      <c r="B14" s="668"/>
      <c r="C14" s="219">
        <f t="shared" si="36"/>
        <v>0</v>
      </c>
      <c r="D14" s="219">
        <f t="shared" si="34"/>
        <v>0</v>
      </c>
      <c r="E14" s="219"/>
      <c r="F14" s="220"/>
      <c r="G14" s="220">
        <f t="shared" si="32"/>
        <v>0</v>
      </c>
      <c r="H14" s="220"/>
      <c r="I14" s="220">
        <f t="shared" si="2"/>
        <v>0</v>
      </c>
      <c r="J14" s="220"/>
      <c r="K14" s="220">
        <f t="shared" si="3"/>
        <v>0</v>
      </c>
      <c r="L14" s="220"/>
      <c r="M14" s="220">
        <f t="shared" si="4"/>
        <v>0</v>
      </c>
      <c r="N14" s="220"/>
      <c r="O14" s="220">
        <f t="shared" si="5"/>
        <v>0</v>
      </c>
      <c r="P14" s="220"/>
      <c r="Q14" s="220">
        <f t="shared" si="6"/>
        <v>0</v>
      </c>
      <c r="R14" s="220"/>
      <c r="S14" s="220">
        <f t="shared" si="7"/>
        <v>0</v>
      </c>
      <c r="T14" s="220"/>
      <c r="U14" s="220">
        <f t="shared" si="8"/>
        <v>0</v>
      </c>
      <c r="V14" s="220"/>
      <c r="W14" s="220">
        <f t="shared" si="9"/>
        <v>0</v>
      </c>
      <c r="X14" s="220"/>
      <c r="Y14" s="220">
        <f t="shared" si="10"/>
        <v>0</v>
      </c>
      <c r="Z14" s="220"/>
      <c r="AA14" s="220">
        <f t="shared" si="11"/>
        <v>0</v>
      </c>
      <c r="AB14" s="220"/>
      <c r="AC14" s="220">
        <f t="shared" si="12"/>
        <v>0</v>
      </c>
      <c r="AD14" s="220"/>
      <c r="AE14" s="220">
        <f t="shared" si="13"/>
        <v>0</v>
      </c>
      <c r="AF14" s="220"/>
      <c r="AG14" s="220">
        <f t="shared" si="14"/>
        <v>0</v>
      </c>
      <c r="AH14" s="220"/>
      <c r="AI14" s="220">
        <f t="shared" si="15"/>
        <v>0</v>
      </c>
      <c r="AJ14" s="220"/>
      <c r="AK14" s="220">
        <f t="shared" si="16"/>
        <v>0</v>
      </c>
      <c r="AL14" s="220"/>
      <c r="AM14" s="220">
        <f t="shared" si="17"/>
        <v>0</v>
      </c>
      <c r="AN14" s="220"/>
      <c r="AO14" s="220">
        <f t="shared" si="18"/>
        <v>0</v>
      </c>
      <c r="AP14" s="220"/>
      <c r="AQ14" s="220">
        <f t="shared" si="19"/>
        <v>0</v>
      </c>
      <c r="AR14" s="220"/>
      <c r="AS14" s="220">
        <f t="shared" si="20"/>
        <v>0</v>
      </c>
      <c r="AT14" s="220"/>
      <c r="AU14" s="220">
        <f t="shared" si="21"/>
        <v>0</v>
      </c>
      <c r="AV14" s="220"/>
      <c r="AW14" s="220">
        <f t="shared" si="22"/>
        <v>0</v>
      </c>
      <c r="AX14" s="220"/>
      <c r="AY14" s="220">
        <f t="shared" si="23"/>
        <v>0</v>
      </c>
      <c r="AZ14" s="220"/>
      <c r="BA14" s="220">
        <f t="shared" si="24"/>
        <v>0</v>
      </c>
      <c r="BB14" s="220"/>
      <c r="BC14" s="220">
        <f t="shared" si="25"/>
        <v>0</v>
      </c>
      <c r="BD14" s="220"/>
      <c r="BE14" s="220">
        <f t="shared" si="26"/>
        <v>0</v>
      </c>
      <c r="BF14" s="220"/>
      <c r="BG14" s="220">
        <f t="shared" si="27"/>
        <v>0</v>
      </c>
      <c r="BH14" s="220"/>
      <c r="BI14" s="220">
        <f t="shared" si="28"/>
        <v>0</v>
      </c>
      <c r="BJ14" s="220"/>
      <c r="BK14" s="220">
        <f t="shared" si="29"/>
        <v>0</v>
      </c>
      <c r="BL14" s="220"/>
      <c r="BM14" s="220">
        <f t="shared" si="30"/>
        <v>0</v>
      </c>
      <c r="BN14" s="220"/>
      <c r="BO14" s="220">
        <f t="shared" si="31"/>
        <v>0</v>
      </c>
    </row>
    <row r="15" spans="1:67">
      <c r="A15" s="232"/>
      <c r="B15" s="668"/>
      <c r="C15" s="219">
        <f t="shared" si="36"/>
        <v>0</v>
      </c>
      <c r="D15" s="219">
        <f t="shared" si="34"/>
        <v>0</v>
      </c>
      <c r="E15" s="219"/>
      <c r="F15" s="220"/>
      <c r="G15" s="220">
        <f t="shared" si="32"/>
        <v>0</v>
      </c>
      <c r="H15" s="220"/>
      <c r="I15" s="220">
        <f t="shared" si="2"/>
        <v>0</v>
      </c>
      <c r="J15" s="220"/>
      <c r="K15" s="220">
        <f t="shared" si="3"/>
        <v>0</v>
      </c>
      <c r="L15" s="220"/>
      <c r="M15" s="220">
        <f t="shared" si="4"/>
        <v>0</v>
      </c>
      <c r="N15" s="220"/>
      <c r="O15" s="220">
        <f t="shared" si="5"/>
        <v>0</v>
      </c>
      <c r="P15" s="220"/>
      <c r="Q15" s="220">
        <f t="shared" si="6"/>
        <v>0</v>
      </c>
      <c r="R15" s="220"/>
      <c r="S15" s="220">
        <f t="shared" si="7"/>
        <v>0</v>
      </c>
      <c r="T15" s="220"/>
      <c r="U15" s="220">
        <f t="shared" si="8"/>
        <v>0</v>
      </c>
      <c r="V15" s="220"/>
      <c r="W15" s="220">
        <f t="shared" si="9"/>
        <v>0</v>
      </c>
      <c r="X15" s="220"/>
      <c r="Y15" s="220">
        <f t="shared" si="10"/>
        <v>0</v>
      </c>
      <c r="Z15" s="220"/>
      <c r="AA15" s="220">
        <f t="shared" si="11"/>
        <v>0</v>
      </c>
      <c r="AB15" s="220"/>
      <c r="AC15" s="220">
        <f t="shared" si="12"/>
        <v>0</v>
      </c>
      <c r="AD15" s="220"/>
      <c r="AE15" s="220">
        <f t="shared" si="13"/>
        <v>0</v>
      </c>
      <c r="AF15" s="220"/>
      <c r="AG15" s="220">
        <f t="shared" si="14"/>
        <v>0</v>
      </c>
      <c r="AH15" s="220"/>
      <c r="AI15" s="220">
        <f t="shared" si="15"/>
        <v>0</v>
      </c>
      <c r="AJ15" s="220"/>
      <c r="AK15" s="220">
        <f t="shared" si="16"/>
        <v>0</v>
      </c>
      <c r="AL15" s="220"/>
      <c r="AM15" s="220">
        <f t="shared" si="17"/>
        <v>0</v>
      </c>
      <c r="AN15" s="220"/>
      <c r="AO15" s="220">
        <f t="shared" si="18"/>
        <v>0</v>
      </c>
      <c r="AP15" s="220"/>
      <c r="AQ15" s="220">
        <f t="shared" si="19"/>
        <v>0</v>
      </c>
      <c r="AR15" s="220"/>
      <c r="AS15" s="220">
        <f t="shared" si="20"/>
        <v>0</v>
      </c>
      <c r="AT15" s="220"/>
      <c r="AU15" s="220">
        <f t="shared" si="21"/>
        <v>0</v>
      </c>
      <c r="AV15" s="220"/>
      <c r="AW15" s="220">
        <f t="shared" si="22"/>
        <v>0</v>
      </c>
      <c r="AX15" s="220"/>
      <c r="AY15" s="220">
        <f t="shared" si="23"/>
        <v>0</v>
      </c>
      <c r="AZ15" s="220"/>
      <c r="BA15" s="220">
        <f t="shared" si="24"/>
        <v>0</v>
      </c>
      <c r="BB15" s="220"/>
      <c r="BC15" s="220">
        <f t="shared" si="25"/>
        <v>0</v>
      </c>
      <c r="BD15" s="220"/>
      <c r="BE15" s="220">
        <f t="shared" si="26"/>
        <v>0</v>
      </c>
      <c r="BF15" s="220"/>
      <c r="BG15" s="220">
        <f t="shared" si="27"/>
        <v>0</v>
      </c>
      <c r="BH15" s="220"/>
      <c r="BI15" s="220">
        <f t="shared" si="28"/>
        <v>0</v>
      </c>
      <c r="BJ15" s="220"/>
      <c r="BK15" s="220">
        <f t="shared" si="29"/>
        <v>0</v>
      </c>
      <c r="BL15" s="220"/>
      <c r="BM15" s="220">
        <f t="shared" si="30"/>
        <v>0</v>
      </c>
      <c r="BN15" s="220"/>
      <c r="BO15" s="220">
        <f t="shared" si="31"/>
        <v>0</v>
      </c>
    </row>
    <row r="16" spans="1:67">
      <c r="A16" s="232"/>
      <c r="B16" s="668"/>
      <c r="C16" s="219">
        <f t="shared" si="36"/>
        <v>0</v>
      </c>
      <c r="D16" s="219">
        <f t="shared" si="34"/>
        <v>0</v>
      </c>
      <c r="E16" s="219"/>
      <c r="F16" s="220"/>
      <c r="G16" s="220">
        <f t="shared" si="32"/>
        <v>0</v>
      </c>
      <c r="H16" s="220"/>
      <c r="I16" s="220">
        <f t="shared" si="2"/>
        <v>0</v>
      </c>
      <c r="J16" s="220"/>
      <c r="K16" s="220">
        <f t="shared" si="3"/>
        <v>0</v>
      </c>
      <c r="L16" s="220"/>
      <c r="M16" s="220">
        <f t="shared" si="4"/>
        <v>0</v>
      </c>
      <c r="N16" s="220"/>
      <c r="O16" s="220">
        <f t="shared" si="5"/>
        <v>0</v>
      </c>
      <c r="P16" s="220"/>
      <c r="Q16" s="220">
        <f t="shared" si="6"/>
        <v>0</v>
      </c>
      <c r="R16" s="220"/>
      <c r="S16" s="220">
        <f t="shared" si="7"/>
        <v>0</v>
      </c>
      <c r="T16" s="220"/>
      <c r="U16" s="220">
        <f t="shared" si="8"/>
        <v>0</v>
      </c>
      <c r="V16" s="220"/>
      <c r="W16" s="220">
        <f t="shared" si="9"/>
        <v>0</v>
      </c>
      <c r="X16" s="220"/>
      <c r="Y16" s="220">
        <f t="shared" si="10"/>
        <v>0</v>
      </c>
      <c r="Z16" s="220"/>
      <c r="AA16" s="220">
        <f t="shared" si="11"/>
        <v>0</v>
      </c>
      <c r="AB16" s="220"/>
      <c r="AC16" s="220">
        <f t="shared" si="12"/>
        <v>0</v>
      </c>
      <c r="AD16" s="220"/>
      <c r="AE16" s="220">
        <f t="shared" si="13"/>
        <v>0</v>
      </c>
      <c r="AF16" s="220"/>
      <c r="AG16" s="220">
        <f t="shared" si="14"/>
        <v>0</v>
      </c>
      <c r="AH16" s="220"/>
      <c r="AI16" s="220">
        <f t="shared" si="15"/>
        <v>0</v>
      </c>
      <c r="AJ16" s="220"/>
      <c r="AK16" s="220">
        <f t="shared" si="16"/>
        <v>0</v>
      </c>
      <c r="AL16" s="220"/>
      <c r="AM16" s="220">
        <f t="shared" si="17"/>
        <v>0</v>
      </c>
      <c r="AN16" s="220"/>
      <c r="AO16" s="220">
        <f t="shared" si="18"/>
        <v>0</v>
      </c>
      <c r="AP16" s="220"/>
      <c r="AQ16" s="220">
        <f t="shared" si="19"/>
        <v>0</v>
      </c>
      <c r="AR16" s="220"/>
      <c r="AS16" s="220">
        <f t="shared" si="20"/>
        <v>0</v>
      </c>
      <c r="AT16" s="220"/>
      <c r="AU16" s="220">
        <f t="shared" si="21"/>
        <v>0</v>
      </c>
      <c r="AV16" s="220"/>
      <c r="AW16" s="220">
        <f t="shared" si="22"/>
        <v>0</v>
      </c>
      <c r="AX16" s="220"/>
      <c r="AY16" s="220">
        <f t="shared" si="23"/>
        <v>0</v>
      </c>
      <c r="AZ16" s="220"/>
      <c r="BA16" s="220">
        <f t="shared" si="24"/>
        <v>0</v>
      </c>
      <c r="BB16" s="220"/>
      <c r="BC16" s="220">
        <f t="shared" si="25"/>
        <v>0</v>
      </c>
      <c r="BD16" s="220"/>
      <c r="BE16" s="220">
        <f t="shared" si="26"/>
        <v>0</v>
      </c>
      <c r="BF16" s="220"/>
      <c r="BG16" s="220">
        <f t="shared" si="27"/>
        <v>0</v>
      </c>
      <c r="BH16" s="220"/>
      <c r="BI16" s="220">
        <f t="shared" si="28"/>
        <v>0</v>
      </c>
      <c r="BJ16" s="220"/>
      <c r="BK16" s="220">
        <f t="shared" si="29"/>
        <v>0</v>
      </c>
      <c r="BL16" s="220"/>
      <c r="BM16" s="220">
        <f t="shared" si="30"/>
        <v>0</v>
      </c>
      <c r="BN16" s="220"/>
      <c r="BO16" s="220">
        <f t="shared" si="31"/>
        <v>0</v>
      </c>
    </row>
    <row r="17" spans="1:67">
      <c r="A17" s="232"/>
      <c r="B17" s="668"/>
      <c r="C17" s="219">
        <f t="shared" si="36"/>
        <v>0</v>
      </c>
      <c r="D17" s="219">
        <f t="shared" si="34"/>
        <v>0</v>
      </c>
      <c r="E17" s="219"/>
      <c r="F17" s="220"/>
      <c r="G17" s="220">
        <f t="shared" si="32"/>
        <v>0</v>
      </c>
      <c r="H17" s="220"/>
      <c r="I17" s="220">
        <f t="shared" si="2"/>
        <v>0</v>
      </c>
      <c r="J17" s="220"/>
      <c r="K17" s="220">
        <f t="shared" si="3"/>
        <v>0</v>
      </c>
      <c r="L17" s="220"/>
      <c r="M17" s="220">
        <f t="shared" si="4"/>
        <v>0</v>
      </c>
      <c r="N17" s="220"/>
      <c r="O17" s="220">
        <f t="shared" si="5"/>
        <v>0</v>
      </c>
      <c r="P17" s="220"/>
      <c r="Q17" s="220">
        <f t="shared" si="6"/>
        <v>0</v>
      </c>
      <c r="R17" s="220"/>
      <c r="S17" s="220">
        <f t="shared" si="7"/>
        <v>0</v>
      </c>
      <c r="T17" s="220"/>
      <c r="U17" s="220">
        <f t="shared" si="8"/>
        <v>0</v>
      </c>
      <c r="V17" s="220"/>
      <c r="W17" s="220">
        <f t="shared" si="9"/>
        <v>0</v>
      </c>
      <c r="X17" s="220"/>
      <c r="Y17" s="220">
        <f t="shared" si="10"/>
        <v>0</v>
      </c>
      <c r="Z17" s="220"/>
      <c r="AA17" s="220">
        <f t="shared" si="11"/>
        <v>0</v>
      </c>
      <c r="AB17" s="220"/>
      <c r="AC17" s="220">
        <f t="shared" si="12"/>
        <v>0</v>
      </c>
      <c r="AD17" s="220"/>
      <c r="AE17" s="220">
        <f t="shared" si="13"/>
        <v>0</v>
      </c>
      <c r="AF17" s="220"/>
      <c r="AG17" s="220">
        <f t="shared" si="14"/>
        <v>0</v>
      </c>
      <c r="AH17" s="220"/>
      <c r="AI17" s="220">
        <f t="shared" si="15"/>
        <v>0</v>
      </c>
      <c r="AJ17" s="220"/>
      <c r="AK17" s="220">
        <f t="shared" si="16"/>
        <v>0</v>
      </c>
      <c r="AL17" s="220"/>
      <c r="AM17" s="220">
        <f t="shared" si="17"/>
        <v>0</v>
      </c>
      <c r="AN17" s="220"/>
      <c r="AO17" s="220">
        <f t="shared" si="18"/>
        <v>0</v>
      </c>
      <c r="AP17" s="220"/>
      <c r="AQ17" s="220">
        <f t="shared" si="19"/>
        <v>0</v>
      </c>
      <c r="AR17" s="220"/>
      <c r="AS17" s="220">
        <f t="shared" si="20"/>
        <v>0</v>
      </c>
      <c r="AT17" s="220"/>
      <c r="AU17" s="220">
        <f t="shared" si="21"/>
        <v>0</v>
      </c>
      <c r="AV17" s="220"/>
      <c r="AW17" s="220">
        <f t="shared" si="22"/>
        <v>0</v>
      </c>
      <c r="AX17" s="220"/>
      <c r="AY17" s="220">
        <f t="shared" si="23"/>
        <v>0</v>
      </c>
      <c r="AZ17" s="220"/>
      <c r="BA17" s="220">
        <f t="shared" si="24"/>
        <v>0</v>
      </c>
      <c r="BB17" s="220"/>
      <c r="BC17" s="220">
        <f t="shared" si="25"/>
        <v>0</v>
      </c>
      <c r="BD17" s="220"/>
      <c r="BE17" s="220">
        <f t="shared" si="26"/>
        <v>0</v>
      </c>
      <c r="BF17" s="220"/>
      <c r="BG17" s="220">
        <f t="shared" si="27"/>
        <v>0</v>
      </c>
      <c r="BH17" s="220"/>
      <c r="BI17" s="220">
        <f t="shared" si="28"/>
        <v>0</v>
      </c>
      <c r="BJ17" s="220"/>
      <c r="BK17" s="220">
        <f t="shared" si="29"/>
        <v>0</v>
      </c>
      <c r="BL17" s="220"/>
      <c r="BM17" s="220">
        <f t="shared" si="30"/>
        <v>0</v>
      </c>
      <c r="BN17" s="220"/>
      <c r="BO17" s="220">
        <f t="shared" si="31"/>
        <v>0</v>
      </c>
    </row>
    <row r="18" spans="1:67">
      <c r="A18" s="232"/>
      <c r="B18" s="668"/>
      <c r="C18" s="219">
        <f t="shared" si="36"/>
        <v>0</v>
      </c>
      <c r="D18" s="219">
        <f t="shared" si="34"/>
        <v>0</v>
      </c>
      <c r="E18" s="219"/>
      <c r="F18" s="220"/>
      <c r="G18" s="220">
        <f t="shared" si="32"/>
        <v>0</v>
      </c>
      <c r="H18" s="220"/>
      <c r="I18" s="220">
        <f t="shared" si="2"/>
        <v>0</v>
      </c>
      <c r="J18" s="220"/>
      <c r="K18" s="220">
        <f t="shared" si="3"/>
        <v>0</v>
      </c>
      <c r="L18" s="220"/>
      <c r="M18" s="220">
        <f t="shared" si="4"/>
        <v>0</v>
      </c>
      <c r="N18" s="220"/>
      <c r="O18" s="220">
        <f t="shared" si="5"/>
        <v>0</v>
      </c>
      <c r="P18" s="220"/>
      <c r="Q18" s="220">
        <f t="shared" si="6"/>
        <v>0</v>
      </c>
      <c r="R18" s="220"/>
      <c r="S18" s="220">
        <f t="shared" si="7"/>
        <v>0</v>
      </c>
      <c r="T18" s="220"/>
      <c r="U18" s="220">
        <f t="shared" si="8"/>
        <v>0</v>
      </c>
      <c r="V18" s="220"/>
      <c r="W18" s="220">
        <f t="shared" si="9"/>
        <v>0</v>
      </c>
      <c r="X18" s="220"/>
      <c r="Y18" s="220">
        <f t="shared" si="10"/>
        <v>0</v>
      </c>
      <c r="Z18" s="220"/>
      <c r="AA18" s="220">
        <f t="shared" si="11"/>
        <v>0</v>
      </c>
      <c r="AB18" s="220"/>
      <c r="AC18" s="220">
        <f t="shared" si="12"/>
        <v>0</v>
      </c>
      <c r="AD18" s="220"/>
      <c r="AE18" s="220">
        <f t="shared" si="13"/>
        <v>0</v>
      </c>
      <c r="AF18" s="220"/>
      <c r="AG18" s="220">
        <f t="shared" si="14"/>
        <v>0</v>
      </c>
      <c r="AH18" s="220"/>
      <c r="AI18" s="220">
        <f t="shared" si="15"/>
        <v>0</v>
      </c>
      <c r="AJ18" s="220"/>
      <c r="AK18" s="220">
        <f t="shared" si="16"/>
        <v>0</v>
      </c>
      <c r="AL18" s="220"/>
      <c r="AM18" s="220">
        <f t="shared" si="17"/>
        <v>0</v>
      </c>
      <c r="AN18" s="220"/>
      <c r="AO18" s="220">
        <f t="shared" si="18"/>
        <v>0</v>
      </c>
      <c r="AP18" s="220"/>
      <c r="AQ18" s="220">
        <f t="shared" si="19"/>
        <v>0</v>
      </c>
      <c r="AR18" s="220"/>
      <c r="AS18" s="220">
        <f t="shared" si="20"/>
        <v>0</v>
      </c>
      <c r="AT18" s="220"/>
      <c r="AU18" s="220">
        <f t="shared" si="21"/>
        <v>0</v>
      </c>
      <c r="AV18" s="220"/>
      <c r="AW18" s="220">
        <f t="shared" si="22"/>
        <v>0</v>
      </c>
      <c r="AX18" s="220"/>
      <c r="AY18" s="220">
        <f t="shared" si="23"/>
        <v>0</v>
      </c>
      <c r="AZ18" s="220"/>
      <c r="BA18" s="220">
        <f t="shared" si="24"/>
        <v>0</v>
      </c>
      <c r="BB18" s="220"/>
      <c r="BC18" s="220">
        <f t="shared" si="25"/>
        <v>0</v>
      </c>
      <c r="BD18" s="220"/>
      <c r="BE18" s="220">
        <f t="shared" si="26"/>
        <v>0</v>
      </c>
      <c r="BF18" s="220"/>
      <c r="BG18" s="220">
        <f t="shared" si="27"/>
        <v>0</v>
      </c>
      <c r="BH18" s="220"/>
      <c r="BI18" s="220">
        <f t="shared" si="28"/>
        <v>0</v>
      </c>
      <c r="BJ18" s="220"/>
      <c r="BK18" s="220">
        <f t="shared" si="29"/>
        <v>0</v>
      </c>
      <c r="BL18" s="220"/>
      <c r="BM18" s="220">
        <f t="shared" si="30"/>
        <v>0</v>
      </c>
      <c r="BN18" s="220"/>
      <c r="BO18" s="220">
        <f t="shared" si="31"/>
        <v>0</v>
      </c>
    </row>
    <row r="19" spans="1:67">
      <c r="A19" s="232"/>
      <c r="B19" s="668"/>
      <c r="C19" s="219">
        <f t="shared" si="36"/>
        <v>0</v>
      </c>
      <c r="D19" s="219">
        <f t="shared" si="34"/>
        <v>0</v>
      </c>
      <c r="E19" s="219"/>
      <c r="F19" s="220"/>
      <c r="G19" s="220">
        <f t="shared" si="32"/>
        <v>0</v>
      </c>
      <c r="H19" s="220"/>
      <c r="I19" s="220">
        <f t="shared" si="2"/>
        <v>0</v>
      </c>
      <c r="J19" s="220"/>
      <c r="K19" s="220">
        <f t="shared" si="3"/>
        <v>0</v>
      </c>
      <c r="L19" s="220"/>
      <c r="M19" s="220">
        <f t="shared" si="4"/>
        <v>0</v>
      </c>
      <c r="N19" s="220"/>
      <c r="O19" s="220">
        <f t="shared" si="5"/>
        <v>0</v>
      </c>
      <c r="P19" s="220"/>
      <c r="Q19" s="220">
        <f t="shared" si="6"/>
        <v>0</v>
      </c>
      <c r="R19" s="220"/>
      <c r="S19" s="220">
        <f t="shared" si="7"/>
        <v>0</v>
      </c>
      <c r="T19" s="220"/>
      <c r="U19" s="220">
        <f t="shared" si="8"/>
        <v>0</v>
      </c>
      <c r="V19" s="220"/>
      <c r="W19" s="220">
        <f t="shared" si="9"/>
        <v>0</v>
      </c>
      <c r="X19" s="220"/>
      <c r="Y19" s="220">
        <f t="shared" si="10"/>
        <v>0</v>
      </c>
      <c r="Z19" s="220"/>
      <c r="AA19" s="220">
        <f t="shared" si="11"/>
        <v>0</v>
      </c>
      <c r="AB19" s="220"/>
      <c r="AC19" s="220">
        <f t="shared" si="12"/>
        <v>0</v>
      </c>
      <c r="AD19" s="220"/>
      <c r="AE19" s="220">
        <f t="shared" si="13"/>
        <v>0</v>
      </c>
      <c r="AF19" s="220"/>
      <c r="AG19" s="220">
        <f t="shared" si="14"/>
        <v>0</v>
      </c>
      <c r="AH19" s="220"/>
      <c r="AI19" s="220">
        <f t="shared" si="15"/>
        <v>0</v>
      </c>
      <c r="AJ19" s="220"/>
      <c r="AK19" s="220">
        <f t="shared" si="16"/>
        <v>0</v>
      </c>
      <c r="AL19" s="220"/>
      <c r="AM19" s="220">
        <f t="shared" si="17"/>
        <v>0</v>
      </c>
      <c r="AN19" s="220"/>
      <c r="AO19" s="220">
        <f t="shared" si="18"/>
        <v>0</v>
      </c>
      <c r="AP19" s="220"/>
      <c r="AQ19" s="220">
        <f t="shared" si="19"/>
        <v>0</v>
      </c>
      <c r="AR19" s="220"/>
      <c r="AS19" s="220">
        <f t="shared" si="20"/>
        <v>0</v>
      </c>
      <c r="AT19" s="220"/>
      <c r="AU19" s="220">
        <f t="shared" si="21"/>
        <v>0</v>
      </c>
      <c r="AV19" s="220"/>
      <c r="AW19" s="220">
        <f t="shared" si="22"/>
        <v>0</v>
      </c>
      <c r="AX19" s="220"/>
      <c r="AY19" s="220">
        <f t="shared" si="23"/>
        <v>0</v>
      </c>
      <c r="AZ19" s="220"/>
      <c r="BA19" s="220">
        <f t="shared" si="24"/>
        <v>0</v>
      </c>
      <c r="BB19" s="220"/>
      <c r="BC19" s="220">
        <f t="shared" si="25"/>
        <v>0</v>
      </c>
      <c r="BD19" s="220"/>
      <c r="BE19" s="220">
        <f t="shared" si="26"/>
        <v>0</v>
      </c>
      <c r="BF19" s="220"/>
      <c r="BG19" s="220">
        <f t="shared" si="27"/>
        <v>0</v>
      </c>
      <c r="BH19" s="220"/>
      <c r="BI19" s="220">
        <f t="shared" si="28"/>
        <v>0</v>
      </c>
      <c r="BJ19" s="220"/>
      <c r="BK19" s="220">
        <f t="shared" si="29"/>
        <v>0</v>
      </c>
      <c r="BL19" s="220"/>
      <c r="BM19" s="220">
        <f t="shared" si="30"/>
        <v>0</v>
      </c>
      <c r="BN19" s="220"/>
      <c r="BO19" s="220">
        <f t="shared" si="31"/>
        <v>0</v>
      </c>
    </row>
    <row r="20" spans="1:67">
      <c r="A20" s="232"/>
      <c r="B20" s="668"/>
      <c r="C20" s="219">
        <f t="shared" si="36"/>
        <v>0</v>
      </c>
      <c r="D20" s="219">
        <f t="shared" si="34"/>
        <v>0</v>
      </c>
      <c r="E20" s="219"/>
      <c r="F20" s="220"/>
      <c r="G20" s="220">
        <f t="shared" si="32"/>
        <v>0</v>
      </c>
      <c r="H20" s="220"/>
      <c r="I20" s="220">
        <f t="shared" si="2"/>
        <v>0</v>
      </c>
      <c r="J20" s="220"/>
      <c r="K20" s="220">
        <f t="shared" si="3"/>
        <v>0</v>
      </c>
      <c r="L20" s="220"/>
      <c r="M20" s="220">
        <f t="shared" si="4"/>
        <v>0</v>
      </c>
      <c r="N20" s="220"/>
      <c r="O20" s="220">
        <f t="shared" si="5"/>
        <v>0</v>
      </c>
      <c r="P20" s="220"/>
      <c r="Q20" s="220">
        <f t="shared" si="6"/>
        <v>0</v>
      </c>
      <c r="R20" s="220"/>
      <c r="S20" s="220">
        <f t="shared" si="7"/>
        <v>0</v>
      </c>
      <c r="T20" s="220"/>
      <c r="U20" s="220">
        <f t="shared" si="8"/>
        <v>0</v>
      </c>
      <c r="V20" s="220"/>
      <c r="W20" s="220">
        <f t="shared" si="9"/>
        <v>0</v>
      </c>
      <c r="X20" s="220"/>
      <c r="Y20" s="220">
        <f t="shared" si="10"/>
        <v>0</v>
      </c>
      <c r="Z20" s="220"/>
      <c r="AA20" s="220">
        <f t="shared" si="11"/>
        <v>0</v>
      </c>
      <c r="AB20" s="220"/>
      <c r="AC20" s="220">
        <f t="shared" si="12"/>
        <v>0</v>
      </c>
      <c r="AD20" s="220"/>
      <c r="AE20" s="220">
        <f t="shared" si="13"/>
        <v>0</v>
      </c>
      <c r="AF20" s="220"/>
      <c r="AG20" s="220">
        <f t="shared" si="14"/>
        <v>0</v>
      </c>
      <c r="AH20" s="220"/>
      <c r="AI20" s="220">
        <f t="shared" si="15"/>
        <v>0</v>
      </c>
      <c r="AJ20" s="220"/>
      <c r="AK20" s="220">
        <f t="shared" si="16"/>
        <v>0</v>
      </c>
      <c r="AL20" s="220"/>
      <c r="AM20" s="220">
        <f t="shared" si="17"/>
        <v>0</v>
      </c>
      <c r="AN20" s="220"/>
      <c r="AO20" s="220">
        <f t="shared" si="18"/>
        <v>0</v>
      </c>
      <c r="AP20" s="220"/>
      <c r="AQ20" s="220">
        <f t="shared" si="19"/>
        <v>0</v>
      </c>
      <c r="AR20" s="220"/>
      <c r="AS20" s="220">
        <f t="shared" si="20"/>
        <v>0</v>
      </c>
      <c r="AT20" s="220"/>
      <c r="AU20" s="220">
        <f t="shared" si="21"/>
        <v>0</v>
      </c>
      <c r="AV20" s="220"/>
      <c r="AW20" s="220">
        <f t="shared" si="22"/>
        <v>0</v>
      </c>
      <c r="AX20" s="220"/>
      <c r="AY20" s="220">
        <f t="shared" si="23"/>
        <v>0</v>
      </c>
      <c r="AZ20" s="220"/>
      <c r="BA20" s="220">
        <f t="shared" si="24"/>
        <v>0</v>
      </c>
      <c r="BB20" s="220"/>
      <c r="BC20" s="220">
        <f t="shared" si="25"/>
        <v>0</v>
      </c>
      <c r="BD20" s="220"/>
      <c r="BE20" s="220">
        <f t="shared" si="26"/>
        <v>0</v>
      </c>
      <c r="BF20" s="220"/>
      <c r="BG20" s="220">
        <f t="shared" si="27"/>
        <v>0</v>
      </c>
      <c r="BH20" s="220"/>
      <c r="BI20" s="220">
        <f t="shared" si="28"/>
        <v>0</v>
      </c>
      <c r="BJ20" s="220"/>
      <c r="BK20" s="220">
        <f t="shared" si="29"/>
        <v>0</v>
      </c>
      <c r="BL20" s="220"/>
      <c r="BM20" s="220">
        <f t="shared" si="30"/>
        <v>0</v>
      </c>
      <c r="BN20" s="220"/>
      <c r="BO20" s="220">
        <f t="shared" si="31"/>
        <v>0</v>
      </c>
    </row>
    <row r="21" spans="1:67">
      <c r="A21" s="232"/>
      <c r="B21" s="668"/>
      <c r="C21" s="219">
        <f t="shared" si="36"/>
        <v>0</v>
      </c>
      <c r="D21" s="219">
        <f t="shared" si="34"/>
        <v>0</v>
      </c>
      <c r="E21" s="219"/>
      <c r="F21" s="220"/>
      <c r="G21" s="220">
        <f t="shared" si="32"/>
        <v>0</v>
      </c>
      <c r="H21" s="220"/>
      <c r="I21" s="220">
        <f t="shared" si="2"/>
        <v>0</v>
      </c>
      <c r="J21" s="220"/>
      <c r="K21" s="220">
        <f t="shared" si="3"/>
        <v>0</v>
      </c>
      <c r="L21" s="220"/>
      <c r="M21" s="220">
        <f t="shared" si="4"/>
        <v>0</v>
      </c>
      <c r="N21" s="220"/>
      <c r="O21" s="220">
        <f t="shared" si="5"/>
        <v>0</v>
      </c>
      <c r="P21" s="220"/>
      <c r="Q21" s="220">
        <f t="shared" si="6"/>
        <v>0</v>
      </c>
      <c r="R21" s="220"/>
      <c r="S21" s="220">
        <f t="shared" si="7"/>
        <v>0</v>
      </c>
      <c r="T21" s="220"/>
      <c r="U21" s="220">
        <f t="shared" si="8"/>
        <v>0</v>
      </c>
      <c r="V21" s="220"/>
      <c r="W21" s="220">
        <f t="shared" si="9"/>
        <v>0</v>
      </c>
      <c r="X21" s="220"/>
      <c r="Y21" s="220">
        <f t="shared" si="10"/>
        <v>0</v>
      </c>
      <c r="Z21" s="220"/>
      <c r="AA21" s="220">
        <f t="shared" si="11"/>
        <v>0</v>
      </c>
      <c r="AB21" s="220"/>
      <c r="AC21" s="220">
        <f t="shared" si="12"/>
        <v>0</v>
      </c>
      <c r="AD21" s="220"/>
      <c r="AE21" s="220">
        <f t="shared" si="13"/>
        <v>0</v>
      </c>
      <c r="AF21" s="220"/>
      <c r="AG21" s="220">
        <f t="shared" si="14"/>
        <v>0</v>
      </c>
      <c r="AH21" s="220"/>
      <c r="AI21" s="220">
        <f t="shared" si="15"/>
        <v>0</v>
      </c>
      <c r="AJ21" s="220"/>
      <c r="AK21" s="220">
        <f t="shared" si="16"/>
        <v>0</v>
      </c>
      <c r="AL21" s="220"/>
      <c r="AM21" s="220">
        <f t="shared" si="17"/>
        <v>0</v>
      </c>
      <c r="AN21" s="220"/>
      <c r="AO21" s="220">
        <f t="shared" si="18"/>
        <v>0</v>
      </c>
      <c r="AP21" s="220"/>
      <c r="AQ21" s="220">
        <f t="shared" si="19"/>
        <v>0</v>
      </c>
      <c r="AR21" s="220"/>
      <c r="AS21" s="220">
        <f t="shared" si="20"/>
        <v>0</v>
      </c>
      <c r="AT21" s="220"/>
      <c r="AU21" s="220">
        <f t="shared" si="21"/>
        <v>0</v>
      </c>
      <c r="AV21" s="220"/>
      <c r="AW21" s="220">
        <f t="shared" si="22"/>
        <v>0</v>
      </c>
      <c r="AX21" s="220"/>
      <c r="AY21" s="220">
        <f t="shared" si="23"/>
        <v>0</v>
      </c>
      <c r="AZ21" s="220"/>
      <c r="BA21" s="220">
        <f t="shared" si="24"/>
        <v>0</v>
      </c>
      <c r="BB21" s="220"/>
      <c r="BC21" s="220">
        <f t="shared" si="25"/>
        <v>0</v>
      </c>
      <c r="BD21" s="220"/>
      <c r="BE21" s="220">
        <f t="shared" si="26"/>
        <v>0</v>
      </c>
      <c r="BF21" s="220"/>
      <c r="BG21" s="220">
        <f t="shared" si="27"/>
        <v>0</v>
      </c>
      <c r="BH21" s="220"/>
      <c r="BI21" s="220">
        <f t="shared" si="28"/>
        <v>0</v>
      </c>
      <c r="BJ21" s="220"/>
      <c r="BK21" s="220">
        <f t="shared" si="29"/>
        <v>0</v>
      </c>
      <c r="BL21" s="220"/>
      <c r="BM21" s="220">
        <f t="shared" si="30"/>
        <v>0</v>
      </c>
      <c r="BN21" s="220"/>
      <c r="BO21" s="220">
        <f t="shared" si="31"/>
        <v>0</v>
      </c>
    </row>
    <row r="22" spans="1:67">
      <c r="A22" s="232"/>
      <c r="B22" s="668"/>
      <c r="C22" s="219">
        <f t="shared" si="36"/>
        <v>0</v>
      </c>
      <c r="D22" s="219">
        <f t="shared" si="34"/>
        <v>0</v>
      </c>
      <c r="E22" s="219"/>
      <c r="F22" s="220"/>
      <c r="G22" s="220">
        <f t="shared" si="32"/>
        <v>0</v>
      </c>
      <c r="H22" s="220"/>
      <c r="I22" s="220">
        <f t="shared" si="2"/>
        <v>0</v>
      </c>
      <c r="J22" s="220"/>
      <c r="K22" s="220">
        <f t="shared" si="3"/>
        <v>0</v>
      </c>
      <c r="L22" s="220"/>
      <c r="M22" s="220">
        <f t="shared" si="4"/>
        <v>0</v>
      </c>
      <c r="N22" s="220"/>
      <c r="O22" s="220">
        <f t="shared" si="5"/>
        <v>0</v>
      </c>
      <c r="P22" s="220"/>
      <c r="Q22" s="220">
        <f t="shared" si="6"/>
        <v>0</v>
      </c>
      <c r="R22" s="220"/>
      <c r="S22" s="220">
        <f t="shared" si="7"/>
        <v>0</v>
      </c>
      <c r="T22" s="220"/>
      <c r="U22" s="220">
        <f t="shared" si="8"/>
        <v>0</v>
      </c>
      <c r="V22" s="220"/>
      <c r="W22" s="220">
        <f t="shared" si="9"/>
        <v>0</v>
      </c>
      <c r="X22" s="220"/>
      <c r="Y22" s="220">
        <f t="shared" si="10"/>
        <v>0</v>
      </c>
      <c r="Z22" s="220"/>
      <c r="AA22" s="220">
        <f t="shared" si="11"/>
        <v>0</v>
      </c>
      <c r="AB22" s="220"/>
      <c r="AC22" s="220">
        <f t="shared" si="12"/>
        <v>0</v>
      </c>
      <c r="AD22" s="220"/>
      <c r="AE22" s="220">
        <f t="shared" si="13"/>
        <v>0</v>
      </c>
      <c r="AF22" s="220"/>
      <c r="AG22" s="220">
        <f t="shared" si="14"/>
        <v>0</v>
      </c>
      <c r="AH22" s="220"/>
      <c r="AI22" s="220">
        <f t="shared" si="15"/>
        <v>0</v>
      </c>
      <c r="AJ22" s="220"/>
      <c r="AK22" s="220">
        <f t="shared" si="16"/>
        <v>0</v>
      </c>
      <c r="AL22" s="220"/>
      <c r="AM22" s="220">
        <f t="shared" si="17"/>
        <v>0</v>
      </c>
      <c r="AN22" s="220"/>
      <c r="AO22" s="220">
        <f t="shared" si="18"/>
        <v>0</v>
      </c>
      <c r="AP22" s="220"/>
      <c r="AQ22" s="220">
        <f t="shared" si="19"/>
        <v>0</v>
      </c>
      <c r="AR22" s="220"/>
      <c r="AS22" s="220">
        <f t="shared" si="20"/>
        <v>0</v>
      </c>
      <c r="AT22" s="220"/>
      <c r="AU22" s="220">
        <f t="shared" si="21"/>
        <v>0</v>
      </c>
      <c r="AV22" s="220"/>
      <c r="AW22" s="220">
        <f t="shared" si="22"/>
        <v>0</v>
      </c>
      <c r="AX22" s="220"/>
      <c r="AY22" s="220">
        <f t="shared" si="23"/>
        <v>0</v>
      </c>
      <c r="AZ22" s="220"/>
      <c r="BA22" s="220">
        <f t="shared" si="24"/>
        <v>0</v>
      </c>
      <c r="BB22" s="220"/>
      <c r="BC22" s="220">
        <f t="shared" si="25"/>
        <v>0</v>
      </c>
      <c r="BD22" s="220"/>
      <c r="BE22" s="220">
        <f t="shared" si="26"/>
        <v>0</v>
      </c>
      <c r="BF22" s="220"/>
      <c r="BG22" s="220">
        <f t="shared" si="27"/>
        <v>0</v>
      </c>
      <c r="BH22" s="220"/>
      <c r="BI22" s="220">
        <f t="shared" si="28"/>
        <v>0</v>
      </c>
      <c r="BJ22" s="220"/>
      <c r="BK22" s="220">
        <f t="shared" si="29"/>
        <v>0</v>
      </c>
      <c r="BL22" s="220"/>
      <c r="BM22" s="220">
        <f t="shared" si="30"/>
        <v>0</v>
      </c>
      <c r="BN22" s="220"/>
      <c r="BO22" s="220">
        <f t="shared" si="31"/>
        <v>0</v>
      </c>
    </row>
    <row r="23" spans="1:67">
      <c r="A23" s="232"/>
      <c r="B23" s="668"/>
      <c r="C23" s="219">
        <f t="shared" si="36"/>
        <v>0</v>
      </c>
      <c r="D23" s="219">
        <f t="shared" si="34"/>
        <v>0</v>
      </c>
      <c r="E23" s="219"/>
      <c r="F23" s="220"/>
      <c r="G23" s="220">
        <f t="shared" si="32"/>
        <v>0</v>
      </c>
      <c r="H23" s="220"/>
      <c r="I23" s="220">
        <f t="shared" si="2"/>
        <v>0</v>
      </c>
      <c r="J23" s="220"/>
      <c r="K23" s="220">
        <f t="shared" si="3"/>
        <v>0</v>
      </c>
      <c r="L23" s="220"/>
      <c r="M23" s="220">
        <f t="shared" si="4"/>
        <v>0</v>
      </c>
      <c r="N23" s="220"/>
      <c r="O23" s="220">
        <f t="shared" si="5"/>
        <v>0</v>
      </c>
      <c r="P23" s="220"/>
      <c r="Q23" s="220">
        <f t="shared" si="6"/>
        <v>0</v>
      </c>
      <c r="R23" s="220"/>
      <c r="S23" s="220">
        <f t="shared" si="7"/>
        <v>0</v>
      </c>
      <c r="T23" s="220"/>
      <c r="U23" s="220">
        <f t="shared" si="8"/>
        <v>0</v>
      </c>
      <c r="V23" s="220"/>
      <c r="W23" s="220">
        <f t="shared" si="9"/>
        <v>0</v>
      </c>
      <c r="X23" s="220"/>
      <c r="Y23" s="220">
        <f t="shared" si="10"/>
        <v>0</v>
      </c>
      <c r="Z23" s="220"/>
      <c r="AA23" s="220">
        <f t="shared" si="11"/>
        <v>0</v>
      </c>
      <c r="AB23" s="220"/>
      <c r="AC23" s="220">
        <f t="shared" si="12"/>
        <v>0</v>
      </c>
      <c r="AD23" s="220"/>
      <c r="AE23" s="220">
        <f t="shared" si="13"/>
        <v>0</v>
      </c>
      <c r="AF23" s="220"/>
      <c r="AG23" s="220">
        <f t="shared" si="14"/>
        <v>0</v>
      </c>
      <c r="AH23" s="220"/>
      <c r="AI23" s="220">
        <f t="shared" si="15"/>
        <v>0</v>
      </c>
      <c r="AJ23" s="220"/>
      <c r="AK23" s="220">
        <f t="shared" si="16"/>
        <v>0</v>
      </c>
      <c r="AL23" s="220"/>
      <c r="AM23" s="220">
        <f t="shared" si="17"/>
        <v>0</v>
      </c>
      <c r="AN23" s="220"/>
      <c r="AO23" s="220">
        <f t="shared" si="18"/>
        <v>0</v>
      </c>
      <c r="AP23" s="220"/>
      <c r="AQ23" s="220">
        <f t="shared" si="19"/>
        <v>0</v>
      </c>
      <c r="AR23" s="220"/>
      <c r="AS23" s="220">
        <f t="shared" si="20"/>
        <v>0</v>
      </c>
      <c r="AT23" s="220"/>
      <c r="AU23" s="220">
        <f t="shared" si="21"/>
        <v>0</v>
      </c>
      <c r="AV23" s="220"/>
      <c r="AW23" s="220">
        <f t="shared" si="22"/>
        <v>0</v>
      </c>
      <c r="AX23" s="220"/>
      <c r="AY23" s="220">
        <f t="shared" si="23"/>
        <v>0</v>
      </c>
      <c r="AZ23" s="220"/>
      <c r="BA23" s="220">
        <f t="shared" si="24"/>
        <v>0</v>
      </c>
      <c r="BB23" s="220"/>
      <c r="BC23" s="220">
        <f t="shared" si="25"/>
        <v>0</v>
      </c>
      <c r="BD23" s="220"/>
      <c r="BE23" s="220">
        <f t="shared" si="26"/>
        <v>0</v>
      </c>
      <c r="BF23" s="220"/>
      <c r="BG23" s="220">
        <f t="shared" si="27"/>
        <v>0</v>
      </c>
      <c r="BH23" s="220"/>
      <c r="BI23" s="220">
        <f t="shared" si="28"/>
        <v>0</v>
      </c>
      <c r="BJ23" s="220"/>
      <c r="BK23" s="220">
        <f t="shared" si="29"/>
        <v>0</v>
      </c>
      <c r="BL23" s="220"/>
      <c r="BM23" s="220">
        <f t="shared" si="30"/>
        <v>0</v>
      </c>
      <c r="BN23" s="220"/>
      <c r="BO23" s="220">
        <f t="shared" si="31"/>
        <v>0</v>
      </c>
    </row>
    <row r="24" spans="1:67">
      <c r="A24" s="232"/>
      <c r="B24" s="668"/>
      <c r="C24" s="219">
        <f t="shared" si="36"/>
        <v>0</v>
      </c>
      <c r="D24" s="219">
        <f t="shared" si="34"/>
        <v>0</v>
      </c>
      <c r="E24" s="219"/>
      <c r="F24" s="220"/>
      <c r="G24" s="220">
        <f t="shared" si="32"/>
        <v>0</v>
      </c>
      <c r="H24" s="220"/>
      <c r="I24" s="220">
        <f t="shared" si="2"/>
        <v>0</v>
      </c>
      <c r="J24" s="220"/>
      <c r="K24" s="220">
        <f t="shared" si="3"/>
        <v>0</v>
      </c>
      <c r="L24" s="220"/>
      <c r="M24" s="220">
        <f t="shared" si="4"/>
        <v>0</v>
      </c>
      <c r="N24" s="220"/>
      <c r="O24" s="220">
        <f t="shared" si="5"/>
        <v>0</v>
      </c>
      <c r="P24" s="220"/>
      <c r="Q24" s="220">
        <f t="shared" si="6"/>
        <v>0</v>
      </c>
      <c r="R24" s="220"/>
      <c r="S24" s="220">
        <f t="shared" si="7"/>
        <v>0</v>
      </c>
      <c r="T24" s="220"/>
      <c r="U24" s="220">
        <f t="shared" si="8"/>
        <v>0</v>
      </c>
      <c r="V24" s="220"/>
      <c r="W24" s="220">
        <f t="shared" si="9"/>
        <v>0</v>
      </c>
      <c r="X24" s="220"/>
      <c r="Y24" s="220">
        <f t="shared" si="10"/>
        <v>0</v>
      </c>
      <c r="Z24" s="220"/>
      <c r="AA24" s="220">
        <f t="shared" si="11"/>
        <v>0</v>
      </c>
      <c r="AB24" s="220"/>
      <c r="AC24" s="220">
        <f t="shared" si="12"/>
        <v>0</v>
      </c>
      <c r="AD24" s="220"/>
      <c r="AE24" s="220">
        <f t="shared" si="13"/>
        <v>0</v>
      </c>
      <c r="AF24" s="220"/>
      <c r="AG24" s="220">
        <f t="shared" si="14"/>
        <v>0</v>
      </c>
      <c r="AH24" s="220"/>
      <c r="AI24" s="220">
        <f t="shared" si="15"/>
        <v>0</v>
      </c>
      <c r="AJ24" s="220"/>
      <c r="AK24" s="220">
        <f t="shared" si="16"/>
        <v>0</v>
      </c>
      <c r="AL24" s="220"/>
      <c r="AM24" s="220">
        <f t="shared" si="17"/>
        <v>0</v>
      </c>
      <c r="AN24" s="220"/>
      <c r="AO24" s="220">
        <f t="shared" si="18"/>
        <v>0</v>
      </c>
      <c r="AP24" s="220"/>
      <c r="AQ24" s="220">
        <f t="shared" si="19"/>
        <v>0</v>
      </c>
      <c r="AR24" s="220"/>
      <c r="AS24" s="220">
        <f t="shared" si="20"/>
        <v>0</v>
      </c>
      <c r="AT24" s="220"/>
      <c r="AU24" s="220">
        <f t="shared" si="21"/>
        <v>0</v>
      </c>
      <c r="AV24" s="220"/>
      <c r="AW24" s="220">
        <f t="shared" si="22"/>
        <v>0</v>
      </c>
      <c r="AX24" s="220"/>
      <c r="AY24" s="220">
        <f t="shared" si="23"/>
        <v>0</v>
      </c>
      <c r="AZ24" s="220"/>
      <c r="BA24" s="220">
        <f t="shared" si="24"/>
        <v>0</v>
      </c>
      <c r="BB24" s="220"/>
      <c r="BC24" s="220">
        <f t="shared" si="25"/>
        <v>0</v>
      </c>
      <c r="BD24" s="220"/>
      <c r="BE24" s="220">
        <f t="shared" si="26"/>
        <v>0</v>
      </c>
      <c r="BF24" s="220"/>
      <c r="BG24" s="220">
        <f t="shared" si="27"/>
        <v>0</v>
      </c>
      <c r="BH24" s="220"/>
      <c r="BI24" s="220">
        <f t="shared" si="28"/>
        <v>0</v>
      </c>
      <c r="BJ24" s="220"/>
      <c r="BK24" s="220">
        <f t="shared" si="29"/>
        <v>0</v>
      </c>
      <c r="BL24" s="220"/>
      <c r="BM24" s="220">
        <f t="shared" si="30"/>
        <v>0</v>
      </c>
      <c r="BN24" s="220"/>
      <c r="BO24" s="220">
        <f t="shared" si="31"/>
        <v>0</v>
      </c>
    </row>
    <row r="25" spans="1:67">
      <c r="A25" s="232"/>
      <c r="B25" s="668"/>
      <c r="C25" s="219">
        <f t="shared" si="36"/>
        <v>0</v>
      </c>
      <c r="D25" s="219">
        <f t="shared" si="34"/>
        <v>0</v>
      </c>
      <c r="E25" s="219"/>
      <c r="F25" s="220"/>
      <c r="G25" s="220">
        <f t="shared" si="32"/>
        <v>0</v>
      </c>
      <c r="H25" s="220"/>
      <c r="I25" s="220">
        <f t="shared" si="2"/>
        <v>0</v>
      </c>
      <c r="J25" s="220"/>
      <c r="K25" s="220">
        <f t="shared" si="3"/>
        <v>0</v>
      </c>
      <c r="L25" s="220"/>
      <c r="M25" s="220">
        <f t="shared" si="4"/>
        <v>0</v>
      </c>
      <c r="N25" s="220"/>
      <c r="O25" s="220">
        <f t="shared" si="5"/>
        <v>0</v>
      </c>
      <c r="P25" s="220"/>
      <c r="Q25" s="220">
        <f t="shared" si="6"/>
        <v>0</v>
      </c>
      <c r="R25" s="220"/>
      <c r="S25" s="220">
        <f t="shared" si="7"/>
        <v>0</v>
      </c>
      <c r="T25" s="220"/>
      <c r="U25" s="220">
        <f t="shared" si="8"/>
        <v>0</v>
      </c>
      <c r="V25" s="220"/>
      <c r="W25" s="220">
        <f t="shared" si="9"/>
        <v>0</v>
      </c>
      <c r="X25" s="220"/>
      <c r="Y25" s="220">
        <f t="shared" si="10"/>
        <v>0</v>
      </c>
      <c r="Z25" s="220"/>
      <c r="AA25" s="220">
        <f t="shared" si="11"/>
        <v>0</v>
      </c>
      <c r="AB25" s="220"/>
      <c r="AC25" s="220">
        <f t="shared" si="12"/>
        <v>0</v>
      </c>
      <c r="AD25" s="220"/>
      <c r="AE25" s="220">
        <f t="shared" si="13"/>
        <v>0</v>
      </c>
      <c r="AF25" s="220"/>
      <c r="AG25" s="220">
        <f t="shared" si="14"/>
        <v>0</v>
      </c>
      <c r="AH25" s="220"/>
      <c r="AI25" s="220">
        <f t="shared" si="15"/>
        <v>0</v>
      </c>
      <c r="AJ25" s="220"/>
      <c r="AK25" s="220">
        <f t="shared" si="16"/>
        <v>0</v>
      </c>
      <c r="AL25" s="220"/>
      <c r="AM25" s="220">
        <f t="shared" si="17"/>
        <v>0</v>
      </c>
      <c r="AN25" s="220"/>
      <c r="AO25" s="220">
        <f t="shared" si="18"/>
        <v>0</v>
      </c>
      <c r="AP25" s="220"/>
      <c r="AQ25" s="220">
        <f t="shared" si="19"/>
        <v>0</v>
      </c>
      <c r="AR25" s="220"/>
      <c r="AS25" s="220">
        <f t="shared" si="20"/>
        <v>0</v>
      </c>
      <c r="AT25" s="220"/>
      <c r="AU25" s="220">
        <f t="shared" si="21"/>
        <v>0</v>
      </c>
      <c r="AV25" s="220"/>
      <c r="AW25" s="220">
        <f t="shared" si="22"/>
        <v>0</v>
      </c>
      <c r="AX25" s="220"/>
      <c r="AY25" s="220">
        <f t="shared" si="23"/>
        <v>0</v>
      </c>
      <c r="AZ25" s="220"/>
      <c r="BA25" s="220">
        <f t="shared" si="24"/>
        <v>0</v>
      </c>
      <c r="BB25" s="220"/>
      <c r="BC25" s="220">
        <f t="shared" si="25"/>
        <v>0</v>
      </c>
      <c r="BD25" s="220"/>
      <c r="BE25" s="220">
        <f t="shared" si="26"/>
        <v>0</v>
      </c>
      <c r="BF25" s="220"/>
      <c r="BG25" s="220">
        <f t="shared" si="27"/>
        <v>0</v>
      </c>
      <c r="BH25" s="220"/>
      <c r="BI25" s="220">
        <f t="shared" si="28"/>
        <v>0</v>
      </c>
      <c r="BJ25" s="220"/>
      <c r="BK25" s="220">
        <f t="shared" si="29"/>
        <v>0</v>
      </c>
      <c r="BL25" s="220"/>
      <c r="BM25" s="220">
        <f t="shared" si="30"/>
        <v>0</v>
      </c>
      <c r="BN25" s="220"/>
      <c r="BO25" s="220">
        <f t="shared" si="31"/>
        <v>0</v>
      </c>
    </row>
    <row r="26" spans="1:67">
      <c r="A26" s="232"/>
      <c r="B26" s="668"/>
      <c r="C26" s="219">
        <f t="shared" si="36"/>
        <v>0</v>
      </c>
      <c r="D26" s="219">
        <f t="shared" si="34"/>
        <v>0</v>
      </c>
      <c r="E26" s="219"/>
      <c r="F26" s="220"/>
      <c r="G26" s="220">
        <f t="shared" si="32"/>
        <v>0</v>
      </c>
      <c r="H26" s="220"/>
      <c r="I26" s="220">
        <f t="shared" si="2"/>
        <v>0</v>
      </c>
      <c r="J26" s="220"/>
      <c r="K26" s="220">
        <f t="shared" si="3"/>
        <v>0</v>
      </c>
      <c r="L26" s="220"/>
      <c r="M26" s="220">
        <f t="shared" si="4"/>
        <v>0</v>
      </c>
      <c r="N26" s="220"/>
      <c r="O26" s="220">
        <f t="shared" si="5"/>
        <v>0</v>
      </c>
      <c r="P26" s="220"/>
      <c r="Q26" s="220">
        <f t="shared" si="6"/>
        <v>0</v>
      </c>
      <c r="R26" s="220"/>
      <c r="S26" s="220">
        <f t="shared" si="7"/>
        <v>0</v>
      </c>
      <c r="T26" s="220"/>
      <c r="U26" s="220">
        <f t="shared" si="8"/>
        <v>0</v>
      </c>
      <c r="V26" s="220"/>
      <c r="W26" s="220">
        <f t="shared" si="9"/>
        <v>0</v>
      </c>
      <c r="X26" s="220"/>
      <c r="Y26" s="220">
        <f t="shared" si="10"/>
        <v>0</v>
      </c>
      <c r="Z26" s="220"/>
      <c r="AA26" s="220">
        <f t="shared" si="11"/>
        <v>0</v>
      </c>
      <c r="AB26" s="220"/>
      <c r="AC26" s="220">
        <f t="shared" si="12"/>
        <v>0</v>
      </c>
      <c r="AD26" s="220"/>
      <c r="AE26" s="220">
        <f t="shared" si="13"/>
        <v>0</v>
      </c>
      <c r="AF26" s="220"/>
      <c r="AG26" s="220">
        <f t="shared" si="14"/>
        <v>0</v>
      </c>
      <c r="AH26" s="220"/>
      <c r="AI26" s="220">
        <f t="shared" si="15"/>
        <v>0</v>
      </c>
      <c r="AJ26" s="220"/>
      <c r="AK26" s="220">
        <f t="shared" si="16"/>
        <v>0</v>
      </c>
      <c r="AL26" s="220"/>
      <c r="AM26" s="220">
        <f t="shared" si="17"/>
        <v>0</v>
      </c>
      <c r="AN26" s="220"/>
      <c r="AO26" s="220">
        <f t="shared" si="18"/>
        <v>0</v>
      </c>
      <c r="AP26" s="220"/>
      <c r="AQ26" s="220">
        <f t="shared" si="19"/>
        <v>0</v>
      </c>
      <c r="AR26" s="220"/>
      <c r="AS26" s="220">
        <f t="shared" si="20"/>
        <v>0</v>
      </c>
      <c r="AT26" s="220"/>
      <c r="AU26" s="220">
        <f t="shared" si="21"/>
        <v>0</v>
      </c>
      <c r="AV26" s="220"/>
      <c r="AW26" s="220">
        <f t="shared" si="22"/>
        <v>0</v>
      </c>
      <c r="AX26" s="220"/>
      <c r="AY26" s="220">
        <f t="shared" si="23"/>
        <v>0</v>
      </c>
      <c r="AZ26" s="220"/>
      <c r="BA26" s="220">
        <f t="shared" si="24"/>
        <v>0</v>
      </c>
      <c r="BB26" s="220"/>
      <c r="BC26" s="220">
        <f t="shared" si="25"/>
        <v>0</v>
      </c>
      <c r="BD26" s="220"/>
      <c r="BE26" s="220">
        <f t="shared" si="26"/>
        <v>0</v>
      </c>
      <c r="BF26" s="220"/>
      <c r="BG26" s="220">
        <f t="shared" si="27"/>
        <v>0</v>
      </c>
      <c r="BH26" s="220"/>
      <c r="BI26" s="220">
        <f t="shared" si="28"/>
        <v>0</v>
      </c>
      <c r="BJ26" s="220"/>
      <c r="BK26" s="220">
        <f t="shared" si="29"/>
        <v>0</v>
      </c>
      <c r="BL26" s="220"/>
      <c r="BM26" s="220">
        <f t="shared" si="30"/>
        <v>0</v>
      </c>
      <c r="BN26" s="220"/>
      <c r="BO26" s="220">
        <f t="shared" si="31"/>
        <v>0</v>
      </c>
    </row>
    <row r="27" spans="1:67">
      <c r="A27" s="232"/>
      <c r="B27" s="668"/>
      <c r="C27" s="219">
        <f t="shared" si="36"/>
        <v>0</v>
      </c>
      <c r="D27" s="219">
        <f t="shared" si="34"/>
        <v>0</v>
      </c>
      <c r="E27" s="219"/>
      <c r="F27" s="220"/>
      <c r="G27" s="220">
        <f t="shared" si="32"/>
        <v>0</v>
      </c>
      <c r="H27" s="220"/>
      <c r="I27" s="220">
        <f t="shared" si="2"/>
        <v>0</v>
      </c>
      <c r="J27" s="220"/>
      <c r="K27" s="220">
        <f t="shared" si="3"/>
        <v>0</v>
      </c>
      <c r="L27" s="220"/>
      <c r="M27" s="220">
        <f t="shared" si="4"/>
        <v>0</v>
      </c>
      <c r="N27" s="220"/>
      <c r="O27" s="220">
        <f t="shared" si="5"/>
        <v>0</v>
      </c>
      <c r="P27" s="220"/>
      <c r="Q27" s="220">
        <f t="shared" si="6"/>
        <v>0</v>
      </c>
      <c r="R27" s="220"/>
      <c r="S27" s="220">
        <f t="shared" si="7"/>
        <v>0</v>
      </c>
      <c r="T27" s="220"/>
      <c r="U27" s="220">
        <f t="shared" si="8"/>
        <v>0</v>
      </c>
      <c r="V27" s="220"/>
      <c r="W27" s="220">
        <f t="shared" si="9"/>
        <v>0</v>
      </c>
      <c r="X27" s="220"/>
      <c r="Y27" s="220">
        <f t="shared" si="10"/>
        <v>0</v>
      </c>
      <c r="Z27" s="220"/>
      <c r="AA27" s="220">
        <f t="shared" si="11"/>
        <v>0</v>
      </c>
      <c r="AB27" s="220"/>
      <c r="AC27" s="220">
        <f t="shared" si="12"/>
        <v>0</v>
      </c>
      <c r="AD27" s="220"/>
      <c r="AE27" s="220">
        <f t="shared" si="13"/>
        <v>0</v>
      </c>
      <c r="AF27" s="220"/>
      <c r="AG27" s="220">
        <f t="shared" si="14"/>
        <v>0</v>
      </c>
      <c r="AH27" s="220"/>
      <c r="AI27" s="220">
        <f t="shared" si="15"/>
        <v>0</v>
      </c>
      <c r="AJ27" s="220"/>
      <c r="AK27" s="220">
        <f t="shared" si="16"/>
        <v>0</v>
      </c>
      <c r="AL27" s="220"/>
      <c r="AM27" s="220">
        <f t="shared" si="17"/>
        <v>0</v>
      </c>
      <c r="AN27" s="220"/>
      <c r="AO27" s="220">
        <f t="shared" si="18"/>
        <v>0</v>
      </c>
      <c r="AP27" s="220"/>
      <c r="AQ27" s="220">
        <f t="shared" si="19"/>
        <v>0</v>
      </c>
      <c r="AR27" s="220"/>
      <c r="AS27" s="220">
        <f t="shared" si="20"/>
        <v>0</v>
      </c>
      <c r="AT27" s="220"/>
      <c r="AU27" s="220">
        <f t="shared" si="21"/>
        <v>0</v>
      </c>
      <c r="AV27" s="220"/>
      <c r="AW27" s="220">
        <f t="shared" si="22"/>
        <v>0</v>
      </c>
      <c r="AX27" s="220"/>
      <c r="AY27" s="220">
        <f t="shared" si="23"/>
        <v>0</v>
      </c>
      <c r="AZ27" s="220"/>
      <c r="BA27" s="220">
        <f t="shared" si="24"/>
        <v>0</v>
      </c>
      <c r="BB27" s="220"/>
      <c r="BC27" s="220">
        <f t="shared" si="25"/>
        <v>0</v>
      </c>
      <c r="BD27" s="220"/>
      <c r="BE27" s="220">
        <f t="shared" si="26"/>
        <v>0</v>
      </c>
      <c r="BF27" s="220"/>
      <c r="BG27" s="220">
        <f t="shared" si="27"/>
        <v>0</v>
      </c>
      <c r="BH27" s="220"/>
      <c r="BI27" s="220">
        <f t="shared" si="28"/>
        <v>0</v>
      </c>
      <c r="BJ27" s="220"/>
      <c r="BK27" s="220">
        <f t="shared" si="29"/>
        <v>0</v>
      </c>
      <c r="BL27" s="220"/>
      <c r="BM27" s="220">
        <f t="shared" si="30"/>
        <v>0</v>
      </c>
      <c r="BN27" s="220"/>
      <c r="BO27" s="220">
        <f t="shared" si="31"/>
        <v>0</v>
      </c>
    </row>
    <row r="28" spans="1:67">
      <c r="A28" s="232"/>
      <c r="B28" s="668"/>
      <c r="C28" s="219">
        <f t="shared" si="36"/>
        <v>0</v>
      </c>
      <c r="D28" s="219">
        <f t="shared" si="34"/>
        <v>0</v>
      </c>
      <c r="E28" s="219"/>
      <c r="F28" s="220"/>
      <c r="G28" s="220">
        <f t="shared" si="32"/>
        <v>0</v>
      </c>
      <c r="H28" s="220"/>
      <c r="I28" s="220">
        <f t="shared" si="2"/>
        <v>0</v>
      </c>
      <c r="J28" s="220"/>
      <c r="K28" s="220">
        <f t="shared" si="3"/>
        <v>0</v>
      </c>
      <c r="L28" s="220"/>
      <c r="M28" s="220">
        <f t="shared" si="4"/>
        <v>0</v>
      </c>
      <c r="N28" s="220"/>
      <c r="O28" s="220">
        <f t="shared" si="5"/>
        <v>0</v>
      </c>
      <c r="P28" s="220"/>
      <c r="Q28" s="220">
        <f t="shared" si="6"/>
        <v>0</v>
      </c>
      <c r="R28" s="220"/>
      <c r="S28" s="220">
        <f t="shared" si="7"/>
        <v>0</v>
      </c>
      <c r="T28" s="220"/>
      <c r="U28" s="220">
        <f t="shared" si="8"/>
        <v>0</v>
      </c>
      <c r="V28" s="220"/>
      <c r="W28" s="220">
        <f t="shared" si="9"/>
        <v>0</v>
      </c>
      <c r="X28" s="220"/>
      <c r="Y28" s="220">
        <f t="shared" si="10"/>
        <v>0</v>
      </c>
      <c r="Z28" s="220"/>
      <c r="AA28" s="220">
        <f t="shared" si="11"/>
        <v>0</v>
      </c>
      <c r="AB28" s="220"/>
      <c r="AC28" s="220">
        <f t="shared" si="12"/>
        <v>0</v>
      </c>
      <c r="AD28" s="220"/>
      <c r="AE28" s="220">
        <f t="shared" si="13"/>
        <v>0</v>
      </c>
      <c r="AF28" s="220"/>
      <c r="AG28" s="220">
        <f t="shared" si="14"/>
        <v>0</v>
      </c>
      <c r="AH28" s="220"/>
      <c r="AI28" s="220">
        <f t="shared" si="15"/>
        <v>0</v>
      </c>
      <c r="AJ28" s="220"/>
      <c r="AK28" s="220">
        <f t="shared" si="16"/>
        <v>0</v>
      </c>
      <c r="AL28" s="220"/>
      <c r="AM28" s="220">
        <f t="shared" si="17"/>
        <v>0</v>
      </c>
      <c r="AN28" s="220"/>
      <c r="AO28" s="220">
        <f t="shared" si="18"/>
        <v>0</v>
      </c>
      <c r="AP28" s="220"/>
      <c r="AQ28" s="220">
        <f t="shared" si="19"/>
        <v>0</v>
      </c>
      <c r="AR28" s="220"/>
      <c r="AS28" s="220">
        <f t="shared" si="20"/>
        <v>0</v>
      </c>
      <c r="AT28" s="220"/>
      <c r="AU28" s="220">
        <f t="shared" si="21"/>
        <v>0</v>
      </c>
      <c r="AV28" s="220"/>
      <c r="AW28" s="220">
        <f t="shared" si="22"/>
        <v>0</v>
      </c>
      <c r="AX28" s="220"/>
      <c r="AY28" s="220">
        <f t="shared" si="23"/>
        <v>0</v>
      </c>
      <c r="AZ28" s="220"/>
      <c r="BA28" s="220">
        <f t="shared" si="24"/>
        <v>0</v>
      </c>
      <c r="BB28" s="220"/>
      <c r="BC28" s="220">
        <f t="shared" si="25"/>
        <v>0</v>
      </c>
      <c r="BD28" s="220"/>
      <c r="BE28" s="220">
        <f t="shared" si="26"/>
        <v>0</v>
      </c>
      <c r="BF28" s="220"/>
      <c r="BG28" s="220">
        <f t="shared" si="27"/>
        <v>0</v>
      </c>
      <c r="BH28" s="220"/>
      <c r="BI28" s="220">
        <f t="shared" si="28"/>
        <v>0</v>
      </c>
      <c r="BJ28" s="220"/>
      <c r="BK28" s="220">
        <f t="shared" si="29"/>
        <v>0</v>
      </c>
      <c r="BL28" s="220"/>
      <c r="BM28" s="220">
        <f t="shared" si="30"/>
        <v>0</v>
      </c>
      <c r="BN28" s="220"/>
      <c r="BO28" s="220">
        <f t="shared" si="31"/>
        <v>0</v>
      </c>
    </row>
    <row r="29" spans="1:67">
      <c r="A29" s="232"/>
      <c r="B29" s="668"/>
      <c r="C29" s="219">
        <f t="shared" si="36"/>
        <v>0</v>
      </c>
      <c r="D29" s="219">
        <f t="shared" si="34"/>
        <v>0</v>
      </c>
      <c r="E29" s="219"/>
      <c r="F29" s="220"/>
      <c r="G29" s="220">
        <f t="shared" si="32"/>
        <v>0</v>
      </c>
      <c r="H29" s="220"/>
      <c r="I29" s="220">
        <f t="shared" si="2"/>
        <v>0</v>
      </c>
      <c r="J29" s="220"/>
      <c r="K29" s="220">
        <f t="shared" si="3"/>
        <v>0</v>
      </c>
      <c r="L29" s="220"/>
      <c r="M29" s="220">
        <f t="shared" si="4"/>
        <v>0</v>
      </c>
      <c r="N29" s="220"/>
      <c r="O29" s="220">
        <f t="shared" si="5"/>
        <v>0</v>
      </c>
      <c r="P29" s="220"/>
      <c r="Q29" s="220">
        <f t="shared" si="6"/>
        <v>0</v>
      </c>
      <c r="R29" s="220"/>
      <c r="S29" s="220">
        <f t="shared" si="7"/>
        <v>0</v>
      </c>
      <c r="T29" s="220"/>
      <c r="U29" s="220">
        <f t="shared" si="8"/>
        <v>0</v>
      </c>
      <c r="V29" s="220"/>
      <c r="W29" s="220">
        <f t="shared" si="9"/>
        <v>0</v>
      </c>
      <c r="X29" s="220"/>
      <c r="Y29" s="220">
        <f t="shared" si="10"/>
        <v>0</v>
      </c>
      <c r="Z29" s="220"/>
      <c r="AA29" s="220">
        <f t="shared" si="11"/>
        <v>0</v>
      </c>
      <c r="AB29" s="220"/>
      <c r="AC29" s="220">
        <f t="shared" si="12"/>
        <v>0</v>
      </c>
      <c r="AD29" s="220"/>
      <c r="AE29" s="220">
        <f t="shared" si="13"/>
        <v>0</v>
      </c>
      <c r="AF29" s="220"/>
      <c r="AG29" s="220">
        <f t="shared" si="14"/>
        <v>0</v>
      </c>
      <c r="AH29" s="220"/>
      <c r="AI29" s="220">
        <f t="shared" si="15"/>
        <v>0</v>
      </c>
      <c r="AJ29" s="220"/>
      <c r="AK29" s="220">
        <f t="shared" si="16"/>
        <v>0</v>
      </c>
      <c r="AL29" s="220"/>
      <c r="AM29" s="220">
        <f t="shared" si="17"/>
        <v>0</v>
      </c>
      <c r="AN29" s="220"/>
      <c r="AO29" s="220">
        <f t="shared" si="18"/>
        <v>0</v>
      </c>
      <c r="AP29" s="220"/>
      <c r="AQ29" s="220">
        <f t="shared" si="19"/>
        <v>0</v>
      </c>
      <c r="AR29" s="220"/>
      <c r="AS29" s="220">
        <f t="shared" si="20"/>
        <v>0</v>
      </c>
      <c r="AT29" s="220"/>
      <c r="AU29" s="220">
        <f t="shared" si="21"/>
        <v>0</v>
      </c>
      <c r="AV29" s="220"/>
      <c r="AW29" s="220">
        <f t="shared" si="22"/>
        <v>0</v>
      </c>
      <c r="AX29" s="220"/>
      <c r="AY29" s="220">
        <f t="shared" si="23"/>
        <v>0</v>
      </c>
      <c r="AZ29" s="220"/>
      <c r="BA29" s="220">
        <f t="shared" si="24"/>
        <v>0</v>
      </c>
      <c r="BB29" s="220"/>
      <c r="BC29" s="220">
        <f t="shared" si="25"/>
        <v>0</v>
      </c>
      <c r="BD29" s="220"/>
      <c r="BE29" s="220">
        <f t="shared" si="26"/>
        <v>0</v>
      </c>
      <c r="BF29" s="220"/>
      <c r="BG29" s="220">
        <f t="shared" si="27"/>
        <v>0</v>
      </c>
      <c r="BH29" s="220"/>
      <c r="BI29" s="220">
        <f t="shared" si="28"/>
        <v>0</v>
      </c>
      <c r="BJ29" s="220"/>
      <c r="BK29" s="220">
        <f t="shared" si="29"/>
        <v>0</v>
      </c>
      <c r="BL29" s="220"/>
      <c r="BM29" s="220">
        <f t="shared" si="30"/>
        <v>0</v>
      </c>
      <c r="BN29" s="220"/>
      <c r="BO29" s="220">
        <f t="shared" si="31"/>
        <v>0</v>
      </c>
    </row>
    <row r="30" spans="1:67">
      <c r="A30" s="232"/>
      <c r="B30" s="668"/>
      <c r="C30" s="219">
        <f t="shared" si="36"/>
        <v>0</v>
      </c>
      <c r="D30" s="219">
        <f t="shared" si="34"/>
        <v>0</v>
      </c>
      <c r="E30" s="219"/>
      <c r="F30" s="220"/>
      <c r="G30" s="220">
        <f t="shared" si="32"/>
        <v>0</v>
      </c>
      <c r="H30" s="220"/>
      <c r="I30" s="220">
        <f t="shared" si="2"/>
        <v>0</v>
      </c>
      <c r="J30" s="220"/>
      <c r="K30" s="220">
        <f t="shared" si="3"/>
        <v>0</v>
      </c>
      <c r="L30" s="220"/>
      <c r="M30" s="220">
        <f t="shared" si="4"/>
        <v>0</v>
      </c>
      <c r="N30" s="220"/>
      <c r="O30" s="220">
        <f t="shared" si="5"/>
        <v>0</v>
      </c>
      <c r="P30" s="220"/>
      <c r="Q30" s="220">
        <f t="shared" si="6"/>
        <v>0</v>
      </c>
      <c r="R30" s="220"/>
      <c r="S30" s="220">
        <f t="shared" si="7"/>
        <v>0</v>
      </c>
      <c r="T30" s="220"/>
      <c r="U30" s="220">
        <f t="shared" si="8"/>
        <v>0</v>
      </c>
      <c r="V30" s="220"/>
      <c r="W30" s="220">
        <f t="shared" si="9"/>
        <v>0</v>
      </c>
      <c r="X30" s="220"/>
      <c r="Y30" s="220">
        <f t="shared" si="10"/>
        <v>0</v>
      </c>
      <c r="Z30" s="220"/>
      <c r="AA30" s="220">
        <f t="shared" si="11"/>
        <v>0</v>
      </c>
      <c r="AB30" s="220"/>
      <c r="AC30" s="220">
        <f t="shared" si="12"/>
        <v>0</v>
      </c>
      <c r="AD30" s="220"/>
      <c r="AE30" s="220">
        <f t="shared" si="13"/>
        <v>0</v>
      </c>
      <c r="AF30" s="220"/>
      <c r="AG30" s="220">
        <f t="shared" si="14"/>
        <v>0</v>
      </c>
      <c r="AH30" s="220"/>
      <c r="AI30" s="220">
        <f t="shared" si="15"/>
        <v>0</v>
      </c>
      <c r="AJ30" s="220"/>
      <c r="AK30" s="220">
        <f t="shared" si="16"/>
        <v>0</v>
      </c>
      <c r="AL30" s="220"/>
      <c r="AM30" s="220">
        <f t="shared" si="17"/>
        <v>0</v>
      </c>
      <c r="AN30" s="220"/>
      <c r="AO30" s="220">
        <f t="shared" si="18"/>
        <v>0</v>
      </c>
      <c r="AP30" s="220"/>
      <c r="AQ30" s="220">
        <f t="shared" si="19"/>
        <v>0</v>
      </c>
      <c r="AR30" s="220"/>
      <c r="AS30" s="220">
        <f t="shared" si="20"/>
        <v>0</v>
      </c>
      <c r="AT30" s="220"/>
      <c r="AU30" s="220">
        <f t="shared" si="21"/>
        <v>0</v>
      </c>
      <c r="AV30" s="220"/>
      <c r="AW30" s="220">
        <f t="shared" si="22"/>
        <v>0</v>
      </c>
      <c r="AX30" s="220"/>
      <c r="AY30" s="220">
        <f t="shared" si="23"/>
        <v>0</v>
      </c>
      <c r="AZ30" s="220"/>
      <c r="BA30" s="220">
        <f t="shared" si="24"/>
        <v>0</v>
      </c>
      <c r="BB30" s="220"/>
      <c r="BC30" s="220">
        <f t="shared" si="25"/>
        <v>0</v>
      </c>
      <c r="BD30" s="220"/>
      <c r="BE30" s="220">
        <f t="shared" si="26"/>
        <v>0</v>
      </c>
      <c r="BF30" s="220"/>
      <c r="BG30" s="220">
        <f t="shared" si="27"/>
        <v>0</v>
      </c>
      <c r="BH30" s="220"/>
      <c r="BI30" s="220">
        <f t="shared" si="28"/>
        <v>0</v>
      </c>
      <c r="BJ30" s="220"/>
      <c r="BK30" s="220">
        <f t="shared" si="29"/>
        <v>0</v>
      </c>
      <c r="BL30" s="220"/>
      <c r="BM30" s="220">
        <f t="shared" si="30"/>
        <v>0</v>
      </c>
      <c r="BN30" s="220"/>
      <c r="BO30" s="220">
        <f t="shared" si="31"/>
        <v>0</v>
      </c>
    </row>
    <row r="31" spans="1:67">
      <c r="A31" s="232"/>
      <c r="B31" s="668"/>
      <c r="C31" s="219">
        <f t="shared" si="36"/>
        <v>0</v>
      </c>
      <c r="D31" s="219">
        <f t="shared" si="34"/>
        <v>0</v>
      </c>
      <c r="E31" s="219"/>
      <c r="F31" s="220"/>
      <c r="G31" s="220">
        <f t="shared" si="32"/>
        <v>0</v>
      </c>
      <c r="H31" s="220"/>
      <c r="I31" s="220">
        <f t="shared" si="2"/>
        <v>0</v>
      </c>
      <c r="J31" s="220"/>
      <c r="K31" s="220">
        <f t="shared" si="3"/>
        <v>0</v>
      </c>
      <c r="L31" s="220"/>
      <c r="M31" s="220">
        <f t="shared" si="4"/>
        <v>0</v>
      </c>
      <c r="N31" s="220"/>
      <c r="O31" s="220">
        <f t="shared" si="5"/>
        <v>0</v>
      </c>
      <c r="P31" s="220"/>
      <c r="Q31" s="220">
        <f t="shared" si="6"/>
        <v>0</v>
      </c>
      <c r="R31" s="220"/>
      <c r="S31" s="220">
        <f t="shared" si="7"/>
        <v>0</v>
      </c>
      <c r="T31" s="220"/>
      <c r="U31" s="220">
        <f t="shared" si="8"/>
        <v>0</v>
      </c>
      <c r="V31" s="220"/>
      <c r="W31" s="220">
        <f t="shared" si="9"/>
        <v>0</v>
      </c>
      <c r="X31" s="220"/>
      <c r="Y31" s="220">
        <f t="shared" si="10"/>
        <v>0</v>
      </c>
      <c r="Z31" s="220"/>
      <c r="AA31" s="220">
        <f t="shared" si="11"/>
        <v>0</v>
      </c>
      <c r="AB31" s="220"/>
      <c r="AC31" s="220">
        <f t="shared" si="12"/>
        <v>0</v>
      </c>
      <c r="AD31" s="220"/>
      <c r="AE31" s="220">
        <f t="shared" si="13"/>
        <v>0</v>
      </c>
      <c r="AF31" s="220"/>
      <c r="AG31" s="220">
        <f t="shared" si="14"/>
        <v>0</v>
      </c>
      <c r="AH31" s="220"/>
      <c r="AI31" s="220">
        <f t="shared" si="15"/>
        <v>0</v>
      </c>
      <c r="AJ31" s="220"/>
      <c r="AK31" s="220">
        <f t="shared" si="16"/>
        <v>0</v>
      </c>
      <c r="AL31" s="220"/>
      <c r="AM31" s="220">
        <f t="shared" si="17"/>
        <v>0</v>
      </c>
      <c r="AN31" s="220"/>
      <c r="AO31" s="220">
        <f t="shared" si="18"/>
        <v>0</v>
      </c>
      <c r="AP31" s="220"/>
      <c r="AQ31" s="220">
        <f t="shared" si="19"/>
        <v>0</v>
      </c>
      <c r="AR31" s="220"/>
      <c r="AS31" s="220">
        <f t="shared" si="20"/>
        <v>0</v>
      </c>
      <c r="AT31" s="220"/>
      <c r="AU31" s="220">
        <f t="shared" si="21"/>
        <v>0</v>
      </c>
      <c r="AV31" s="220"/>
      <c r="AW31" s="220">
        <f t="shared" si="22"/>
        <v>0</v>
      </c>
      <c r="AX31" s="220"/>
      <c r="AY31" s="220">
        <f t="shared" si="23"/>
        <v>0</v>
      </c>
      <c r="AZ31" s="220"/>
      <c r="BA31" s="220">
        <f t="shared" si="24"/>
        <v>0</v>
      </c>
      <c r="BB31" s="220"/>
      <c r="BC31" s="220">
        <f t="shared" si="25"/>
        <v>0</v>
      </c>
      <c r="BD31" s="220"/>
      <c r="BE31" s="220">
        <f t="shared" si="26"/>
        <v>0</v>
      </c>
      <c r="BF31" s="220"/>
      <c r="BG31" s="220">
        <f t="shared" si="27"/>
        <v>0</v>
      </c>
      <c r="BH31" s="220"/>
      <c r="BI31" s="220">
        <f t="shared" si="28"/>
        <v>0</v>
      </c>
      <c r="BJ31" s="220"/>
      <c r="BK31" s="220">
        <f t="shared" si="29"/>
        <v>0</v>
      </c>
      <c r="BL31" s="220"/>
      <c r="BM31" s="220">
        <f t="shared" si="30"/>
        <v>0</v>
      </c>
      <c r="BN31" s="220"/>
      <c r="BO31" s="220">
        <f t="shared" si="31"/>
        <v>0</v>
      </c>
    </row>
    <row r="32" spans="1:67">
      <c r="A32" s="232"/>
      <c r="B32" s="668"/>
      <c r="C32" s="219">
        <f t="shared" si="36"/>
        <v>0</v>
      </c>
      <c r="D32" s="219">
        <f t="shared" si="34"/>
        <v>0</v>
      </c>
      <c r="E32" s="219"/>
      <c r="F32" s="220"/>
      <c r="G32" s="220">
        <f t="shared" si="32"/>
        <v>0</v>
      </c>
      <c r="H32" s="220"/>
      <c r="I32" s="220">
        <f t="shared" si="2"/>
        <v>0</v>
      </c>
      <c r="J32" s="220"/>
      <c r="K32" s="220">
        <f t="shared" si="3"/>
        <v>0</v>
      </c>
      <c r="L32" s="220"/>
      <c r="M32" s="220">
        <f t="shared" si="4"/>
        <v>0</v>
      </c>
      <c r="N32" s="220"/>
      <c r="O32" s="220">
        <f t="shared" si="5"/>
        <v>0</v>
      </c>
      <c r="P32" s="220"/>
      <c r="Q32" s="220">
        <f t="shared" si="6"/>
        <v>0</v>
      </c>
      <c r="R32" s="220"/>
      <c r="S32" s="220">
        <f t="shared" si="7"/>
        <v>0</v>
      </c>
      <c r="T32" s="220"/>
      <c r="U32" s="220">
        <f t="shared" si="8"/>
        <v>0</v>
      </c>
      <c r="V32" s="220"/>
      <c r="W32" s="220">
        <f t="shared" si="9"/>
        <v>0</v>
      </c>
      <c r="X32" s="220"/>
      <c r="Y32" s="220">
        <f t="shared" si="10"/>
        <v>0</v>
      </c>
      <c r="Z32" s="220"/>
      <c r="AA32" s="220">
        <f t="shared" si="11"/>
        <v>0</v>
      </c>
      <c r="AB32" s="220"/>
      <c r="AC32" s="220">
        <f t="shared" si="12"/>
        <v>0</v>
      </c>
      <c r="AD32" s="220"/>
      <c r="AE32" s="220">
        <f t="shared" si="13"/>
        <v>0</v>
      </c>
      <c r="AF32" s="220"/>
      <c r="AG32" s="220">
        <f t="shared" si="14"/>
        <v>0</v>
      </c>
      <c r="AH32" s="220"/>
      <c r="AI32" s="220">
        <f t="shared" si="15"/>
        <v>0</v>
      </c>
      <c r="AJ32" s="220"/>
      <c r="AK32" s="220">
        <f t="shared" si="16"/>
        <v>0</v>
      </c>
      <c r="AL32" s="220"/>
      <c r="AM32" s="220">
        <f t="shared" si="17"/>
        <v>0</v>
      </c>
      <c r="AN32" s="220"/>
      <c r="AO32" s="220">
        <f t="shared" si="18"/>
        <v>0</v>
      </c>
      <c r="AP32" s="220"/>
      <c r="AQ32" s="220">
        <f t="shared" si="19"/>
        <v>0</v>
      </c>
      <c r="AR32" s="220"/>
      <c r="AS32" s="220">
        <f t="shared" si="20"/>
        <v>0</v>
      </c>
      <c r="AT32" s="220"/>
      <c r="AU32" s="220">
        <f t="shared" si="21"/>
        <v>0</v>
      </c>
      <c r="AV32" s="220"/>
      <c r="AW32" s="220">
        <f t="shared" si="22"/>
        <v>0</v>
      </c>
      <c r="AX32" s="220"/>
      <c r="AY32" s="220">
        <f t="shared" si="23"/>
        <v>0</v>
      </c>
      <c r="AZ32" s="220"/>
      <c r="BA32" s="220">
        <f t="shared" si="24"/>
        <v>0</v>
      </c>
      <c r="BB32" s="220"/>
      <c r="BC32" s="220">
        <f t="shared" si="25"/>
        <v>0</v>
      </c>
      <c r="BD32" s="220"/>
      <c r="BE32" s="220">
        <f t="shared" si="26"/>
        <v>0</v>
      </c>
      <c r="BF32" s="220"/>
      <c r="BG32" s="220">
        <f t="shared" si="27"/>
        <v>0</v>
      </c>
      <c r="BH32" s="220"/>
      <c r="BI32" s="220">
        <f t="shared" si="28"/>
        <v>0</v>
      </c>
      <c r="BJ32" s="220"/>
      <c r="BK32" s="220">
        <f t="shared" si="29"/>
        <v>0</v>
      </c>
      <c r="BL32" s="220"/>
      <c r="BM32" s="220">
        <f t="shared" si="30"/>
        <v>0</v>
      </c>
      <c r="BN32" s="220"/>
      <c r="BO32" s="220">
        <f t="shared" si="31"/>
        <v>0</v>
      </c>
    </row>
    <row r="33" spans="1:67">
      <c r="A33" s="232"/>
      <c r="B33" s="668"/>
      <c r="C33" s="219">
        <f t="shared" si="36"/>
        <v>0</v>
      </c>
      <c r="D33" s="219">
        <f t="shared" si="34"/>
        <v>0</v>
      </c>
      <c r="E33" s="219"/>
      <c r="F33" s="220"/>
      <c r="G33" s="220">
        <f t="shared" si="32"/>
        <v>0</v>
      </c>
      <c r="H33" s="220"/>
      <c r="I33" s="220">
        <f t="shared" si="2"/>
        <v>0</v>
      </c>
      <c r="J33" s="220"/>
      <c r="K33" s="220">
        <f t="shared" si="3"/>
        <v>0</v>
      </c>
      <c r="L33" s="220"/>
      <c r="M33" s="220">
        <f t="shared" si="4"/>
        <v>0</v>
      </c>
      <c r="N33" s="220"/>
      <c r="O33" s="220">
        <f t="shared" si="5"/>
        <v>0</v>
      </c>
      <c r="P33" s="220"/>
      <c r="Q33" s="220">
        <f t="shared" si="6"/>
        <v>0</v>
      </c>
      <c r="R33" s="220"/>
      <c r="S33" s="220">
        <f t="shared" si="7"/>
        <v>0</v>
      </c>
      <c r="T33" s="220"/>
      <c r="U33" s="220">
        <f t="shared" si="8"/>
        <v>0</v>
      </c>
      <c r="V33" s="220"/>
      <c r="W33" s="220">
        <f t="shared" si="9"/>
        <v>0</v>
      </c>
      <c r="X33" s="220"/>
      <c r="Y33" s="220">
        <f t="shared" si="10"/>
        <v>0</v>
      </c>
      <c r="Z33" s="220"/>
      <c r="AA33" s="220">
        <f t="shared" si="11"/>
        <v>0</v>
      </c>
      <c r="AB33" s="220"/>
      <c r="AC33" s="220">
        <f t="shared" si="12"/>
        <v>0</v>
      </c>
      <c r="AD33" s="220"/>
      <c r="AE33" s="220">
        <f t="shared" si="13"/>
        <v>0</v>
      </c>
      <c r="AF33" s="220"/>
      <c r="AG33" s="220">
        <f t="shared" si="14"/>
        <v>0</v>
      </c>
      <c r="AH33" s="220"/>
      <c r="AI33" s="220">
        <f t="shared" si="15"/>
        <v>0</v>
      </c>
      <c r="AJ33" s="220"/>
      <c r="AK33" s="220">
        <f t="shared" si="16"/>
        <v>0</v>
      </c>
      <c r="AL33" s="220"/>
      <c r="AM33" s="220">
        <f t="shared" si="17"/>
        <v>0</v>
      </c>
      <c r="AN33" s="220"/>
      <c r="AO33" s="220">
        <f t="shared" si="18"/>
        <v>0</v>
      </c>
      <c r="AP33" s="220"/>
      <c r="AQ33" s="220">
        <f t="shared" si="19"/>
        <v>0</v>
      </c>
      <c r="AR33" s="220"/>
      <c r="AS33" s="220">
        <f t="shared" si="20"/>
        <v>0</v>
      </c>
      <c r="AT33" s="220"/>
      <c r="AU33" s="220">
        <f t="shared" si="21"/>
        <v>0</v>
      </c>
      <c r="AV33" s="220"/>
      <c r="AW33" s="220">
        <f t="shared" si="22"/>
        <v>0</v>
      </c>
      <c r="AX33" s="220"/>
      <c r="AY33" s="220">
        <f t="shared" si="23"/>
        <v>0</v>
      </c>
      <c r="AZ33" s="220"/>
      <c r="BA33" s="220">
        <f t="shared" si="24"/>
        <v>0</v>
      </c>
      <c r="BB33" s="220"/>
      <c r="BC33" s="220">
        <f t="shared" si="25"/>
        <v>0</v>
      </c>
      <c r="BD33" s="220"/>
      <c r="BE33" s="220">
        <f t="shared" si="26"/>
        <v>0</v>
      </c>
      <c r="BF33" s="220"/>
      <c r="BG33" s="220">
        <f t="shared" si="27"/>
        <v>0</v>
      </c>
      <c r="BH33" s="220"/>
      <c r="BI33" s="220">
        <f t="shared" si="28"/>
        <v>0</v>
      </c>
      <c r="BJ33" s="220"/>
      <c r="BK33" s="220">
        <f t="shared" si="29"/>
        <v>0</v>
      </c>
      <c r="BL33" s="220"/>
      <c r="BM33" s="220">
        <f t="shared" si="30"/>
        <v>0</v>
      </c>
      <c r="BN33" s="220"/>
      <c r="BO33" s="220">
        <f t="shared" si="31"/>
        <v>0</v>
      </c>
    </row>
    <row r="34" spans="1:67">
      <c r="A34" s="232"/>
      <c r="B34" s="668"/>
      <c r="C34" s="219">
        <f t="shared" si="36"/>
        <v>0</v>
      </c>
      <c r="D34" s="219">
        <f t="shared" si="34"/>
        <v>0</v>
      </c>
      <c r="E34" s="219"/>
      <c r="F34" s="220"/>
      <c r="G34" s="220">
        <f t="shared" si="32"/>
        <v>0</v>
      </c>
      <c r="H34" s="220"/>
      <c r="I34" s="220">
        <f t="shared" si="2"/>
        <v>0</v>
      </c>
      <c r="J34" s="220"/>
      <c r="K34" s="220">
        <f t="shared" si="3"/>
        <v>0</v>
      </c>
      <c r="L34" s="220"/>
      <c r="M34" s="220">
        <f t="shared" si="4"/>
        <v>0</v>
      </c>
      <c r="N34" s="220"/>
      <c r="O34" s="220">
        <f t="shared" si="5"/>
        <v>0</v>
      </c>
      <c r="P34" s="220"/>
      <c r="Q34" s="220">
        <f t="shared" si="6"/>
        <v>0</v>
      </c>
      <c r="R34" s="220"/>
      <c r="S34" s="220">
        <f t="shared" si="7"/>
        <v>0</v>
      </c>
      <c r="T34" s="220"/>
      <c r="U34" s="220">
        <f t="shared" si="8"/>
        <v>0</v>
      </c>
      <c r="V34" s="220"/>
      <c r="W34" s="220">
        <f t="shared" si="9"/>
        <v>0</v>
      </c>
      <c r="X34" s="220"/>
      <c r="Y34" s="220">
        <f t="shared" si="10"/>
        <v>0</v>
      </c>
      <c r="Z34" s="220"/>
      <c r="AA34" s="220">
        <f t="shared" si="11"/>
        <v>0</v>
      </c>
      <c r="AB34" s="220"/>
      <c r="AC34" s="220">
        <f t="shared" si="12"/>
        <v>0</v>
      </c>
      <c r="AD34" s="220"/>
      <c r="AE34" s="220">
        <f t="shared" si="13"/>
        <v>0</v>
      </c>
      <c r="AF34" s="220"/>
      <c r="AG34" s="220">
        <f t="shared" si="14"/>
        <v>0</v>
      </c>
      <c r="AH34" s="220"/>
      <c r="AI34" s="220">
        <f t="shared" si="15"/>
        <v>0</v>
      </c>
      <c r="AJ34" s="220"/>
      <c r="AK34" s="220">
        <f t="shared" si="16"/>
        <v>0</v>
      </c>
      <c r="AL34" s="220"/>
      <c r="AM34" s="220">
        <f t="shared" si="17"/>
        <v>0</v>
      </c>
      <c r="AN34" s="220"/>
      <c r="AO34" s="220">
        <f t="shared" si="18"/>
        <v>0</v>
      </c>
      <c r="AP34" s="220"/>
      <c r="AQ34" s="220">
        <f t="shared" si="19"/>
        <v>0</v>
      </c>
      <c r="AR34" s="220"/>
      <c r="AS34" s="220">
        <f t="shared" si="20"/>
        <v>0</v>
      </c>
      <c r="AT34" s="220"/>
      <c r="AU34" s="220">
        <f t="shared" si="21"/>
        <v>0</v>
      </c>
      <c r="AV34" s="220"/>
      <c r="AW34" s="220">
        <f t="shared" si="22"/>
        <v>0</v>
      </c>
      <c r="AX34" s="220"/>
      <c r="AY34" s="220">
        <f t="shared" si="23"/>
        <v>0</v>
      </c>
      <c r="AZ34" s="220"/>
      <c r="BA34" s="220">
        <f t="shared" si="24"/>
        <v>0</v>
      </c>
      <c r="BB34" s="220"/>
      <c r="BC34" s="220">
        <f t="shared" si="25"/>
        <v>0</v>
      </c>
      <c r="BD34" s="220"/>
      <c r="BE34" s="220">
        <f t="shared" si="26"/>
        <v>0</v>
      </c>
      <c r="BF34" s="220"/>
      <c r="BG34" s="220">
        <f t="shared" si="27"/>
        <v>0</v>
      </c>
      <c r="BH34" s="220"/>
      <c r="BI34" s="220">
        <f t="shared" si="28"/>
        <v>0</v>
      </c>
      <c r="BJ34" s="220"/>
      <c r="BK34" s="220">
        <f t="shared" si="29"/>
        <v>0</v>
      </c>
      <c r="BL34" s="220"/>
      <c r="BM34" s="220">
        <f t="shared" si="30"/>
        <v>0</v>
      </c>
      <c r="BN34" s="220"/>
      <c r="BO34" s="220">
        <f t="shared" si="31"/>
        <v>0</v>
      </c>
    </row>
    <row r="35" spans="1:67">
      <c r="A35" s="232"/>
      <c r="B35" s="668"/>
      <c r="C35" s="219">
        <f t="shared" si="36"/>
        <v>0</v>
      </c>
      <c r="D35" s="219">
        <f t="shared" si="34"/>
        <v>0</v>
      </c>
      <c r="E35" s="219"/>
      <c r="F35" s="220"/>
      <c r="G35" s="220">
        <f t="shared" si="32"/>
        <v>0</v>
      </c>
      <c r="H35" s="220"/>
      <c r="I35" s="220">
        <f t="shared" si="2"/>
        <v>0</v>
      </c>
      <c r="J35" s="220"/>
      <c r="K35" s="220">
        <f t="shared" si="3"/>
        <v>0</v>
      </c>
      <c r="L35" s="220"/>
      <c r="M35" s="220">
        <f t="shared" si="4"/>
        <v>0</v>
      </c>
      <c r="N35" s="220"/>
      <c r="O35" s="220">
        <f t="shared" si="5"/>
        <v>0</v>
      </c>
      <c r="P35" s="220"/>
      <c r="Q35" s="220">
        <f t="shared" si="6"/>
        <v>0</v>
      </c>
      <c r="R35" s="220"/>
      <c r="S35" s="220">
        <f t="shared" si="7"/>
        <v>0</v>
      </c>
      <c r="T35" s="220"/>
      <c r="U35" s="220">
        <f t="shared" si="8"/>
        <v>0</v>
      </c>
      <c r="V35" s="220"/>
      <c r="W35" s="220">
        <f t="shared" si="9"/>
        <v>0</v>
      </c>
      <c r="X35" s="220"/>
      <c r="Y35" s="220">
        <f t="shared" si="10"/>
        <v>0</v>
      </c>
      <c r="Z35" s="220"/>
      <c r="AA35" s="220">
        <f t="shared" si="11"/>
        <v>0</v>
      </c>
      <c r="AB35" s="220"/>
      <c r="AC35" s="220">
        <f t="shared" si="12"/>
        <v>0</v>
      </c>
      <c r="AD35" s="220"/>
      <c r="AE35" s="220">
        <f t="shared" si="13"/>
        <v>0</v>
      </c>
      <c r="AF35" s="220"/>
      <c r="AG35" s="220">
        <f t="shared" si="14"/>
        <v>0</v>
      </c>
      <c r="AH35" s="220"/>
      <c r="AI35" s="220">
        <f t="shared" si="15"/>
        <v>0</v>
      </c>
      <c r="AJ35" s="220"/>
      <c r="AK35" s="220">
        <f t="shared" si="16"/>
        <v>0</v>
      </c>
      <c r="AL35" s="220"/>
      <c r="AM35" s="220">
        <f t="shared" si="17"/>
        <v>0</v>
      </c>
      <c r="AN35" s="220"/>
      <c r="AO35" s="220">
        <f t="shared" si="18"/>
        <v>0</v>
      </c>
      <c r="AP35" s="220"/>
      <c r="AQ35" s="220">
        <f t="shared" si="19"/>
        <v>0</v>
      </c>
      <c r="AR35" s="220"/>
      <c r="AS35" s="220">
        <f t="shared" si="20"/>
        <v>0</v>
      </c>
      <c r="AT35" s="220"/>
      <c r="AU35" s="220">
        <f t="shared" si="21"/>
        <v>0</v>
      </c>
      <c r="AV35" s="220"/>
      <c r="AW35" s="220">
        <f t="shared" si="22"/>
        <v>0</v>
      </c>
      <c r="AX35" s="220"/>
      <c r="AY35" s="220">
        <f t="shared" si="23"/>
        <v>0</v>
      </c>
      <c r="AZ35" s="220"/>
      <c r="BA35" s="220">
        <f t="shared" si="24"/>
        <v>0</v>
      </c>
      <c r="BB35" s="220"/>
      <c r="BC35" s="220">
        <f t="shared" si="25"/>
        <v>0</v>
      </c>
      <c r="BD35" s="220"/>
      <c r="BE35" s="220">
        <f t="shared" si="26"/>
        <v>0</v>
      </c>
      <c r="BF35" s="220"/>
      <c r="BG35" s="220">
        <f t="shared" si="27"/>
        <v>0</v>
      </c>
      <c r="BH35" s="220"/>
      <c r="BI35" s="220">
        <f t="shared" si="28"/>
        <v>0</v>
      </c>
      <c r="BJ35" s="220"/>
      <c r="BK35" s="220">
        <f t="shared" si="29"/>
        <v>0</v>
      </c>
      <c r="BL35" s="220"/>
      <c r="BM35" s="220">
        <f t="shared" si="30"/>
        <v>0</v>
      </c>
      <c r="BN35" s="220"/>
      <c r="BO35" s="220">
        <f t="shared" si="31"/>
        <v>0</v>
      </c>
    </row>
    <row r="36" spans="1:67">
      <c r="A36" s="232"/>
      <c r="B36" s="668"/>
      <c r="C36" s="219">
        <f t="shared" si="36"/>
        <v>0</v>
      </c>
      <c r="D36" s="219">
        <f t="shared" si="34"/>
        <v>0</v>
      </c>
      <c r="E36" s="219"/>
      <c r="F36" s="220"/>
      <c r="G36" s="220">
        <f t="shared" si="32"/>
        <v>0</v>
      </c>
      <c r="H36" s="220"/>
      <c r="I36" s="220">
        <f t="shared" si="2"/>
        <v>0</v>
      </c>
      <c r="J36" s="220"/>
      <c r="K36" s="220">
        <f t="shared" si="3"/>
        <v>0</v>
      </c>
      <c r="L36" s="220"/>
      <c r="M36" s="220">
        <f t="shared" si="4"/>
        <v>0</v>
      </c>
      <c r="N36" s="220"/>
      <c r="O36" s="220">
        <f t="shared" si="5"/>
        <v>0</v>
      </c>
      <c r="P36" s="220"/>
      <c r="Q36" s="220">
        <f t="shared" si="6"/>
        <v>0</v>
      </c>
      <c r="R36" s="220"/>
      <c r="S36" s="220">
        <f t="shared" si="7"/>
        <v>0</v>
      </c>
      <c r="T36" s="220"/>
      <c r="U36" s="220">
        <f t="shared" si="8"/>
        <v>0</v>
      </c>
      <c r="V36" s="220"/>
      <c r="W36" s="220">
        <f t="shared" si="9"/>
        <v>0</v>
      </c>
      <c r="X36" s="220"/>
      <c r="Y36" s="220">
        <f t="shared" si="10"/>
        <v>0</v>
      </c>
      <c r="Z36" s="220"/>
      <c r="AA36" s="220">
        <f t="shared" si="11"/>
        <v>0</v>
      </c>
      <c r="AB36" s="220"/>
      <c r="AC36" s="220">
        <f t="shared" si="12"/>
        <v>0</v>
      </c>
      <c r="AD36" s="220"/>
      <c r="AE36" s="220">
        <f t="shared" si="13"/>
        <v>0</v>
      </c>
      <c r="AF36" s="220"/>
      <c r="AG36" s="220">
        <f t="shared" si="14"/>
        <v>0</v>
      </c>
      <c r="AH36" s="220"/>
      <c r="AI36" s="220">
        <f t="shared" si="15"/>
        <v>0</v>
      </c>
      <c r="AJ36" s="220"/>
      <c r="AK36" s="220">
        <f t="shared" si="16"/>
        <v>0</v>
      </c>
      <c r="AL36" s="220"/>
      <c r="AM36" s="220">
        <f t="shared" si="17"/>
        <v>0</v>
      </c>
      <c r="AN36" s="220"/>
      <c r="AO36" s="220">
        <f t="shared" si="18"/>
        <v>0</v>
      </c>
      <c r="AP36" s="220"/>
      <c r="AQ36" s="220">
        <f t="shared" si="19"/>
        <v>0</v>
      </c>
      <c r="AR36" s="220"/>
      <c r="AS36" s="220">
        <f t="shared" si="20"/>
        <v>0</v>
      </c>
      <c r="AT36" s="220"/>
      <c r="AU36" s="220">
        <f t="shared" si="21"/>
        <v>0</v>
      </c>
      <c r="AV36" s="220"/>
      <c r="AW36" s="220">
        <f t="shared" si="22"/>
        <v>0</v>
      </c>
      <c r="AX36" s="220"/>
      <c r="AY36" s="220">
        <f t="shared" si="23"/>
        <v>0</v>
      </c>
      <c r="AZ36" s="220"/>
      <c r="BA36" s="220">
        <f t="shared" si="24"/>
        <v>0</v>
      </c>
      <c r="BB36" s="220"/>
      <c r="BC36" s="220">
        <f t="shared" si="25"/>
        <v>0</v>
      </c>
      <c r="BD36" s="220"/>
      <c r="BE36" s="220">
        <f t="shared" si="26"/>
        <v>0</v>
      </c>
      <c r="BF36" s="220"/>
      <c r="BG36" s="220">
        <f t="shared" si="27"/>
        <v>0</v>
      </c>
      <c r="BH36" s="220"/>
      <c r="BI36" s="220">
        <f t="shared" si="28"/>
        <v>0</v>
      </c>
      <c r="BJ36" s="220"/>
      <c r="BK36" s="220">
        <f t="shared" si="29"/>
        <v>0</v>
      </c>
      <c r="BL36" s="220"/>
      <c r="BM36" s="220">
        <f t="shared" si="30"/>
        <v>0</v>
      </c>
      <c r="BN36" s="220"/>
      <c r="BO36" s="220">
        <f t="shared" si="31"/>
        <v>0</v>
      </c>
    </row>
    <row r="37" spans="1:67">
      <c r="A37" s="232"/>
      <c r="B37" s="668"/>
      <c r="C37" s="219">
        <f t="shared" si="36"/>
        <v>0</v>
      </c>
      <c r="D37" s="219">
        <f t="shared" si="34"/>
        <v>0</v>
      </c>
      <c r="E37" s="219"/>
      <c r="F37" s="220"/>
      <c r="G37" s="220">
        <f t="shared" si="32"/>
        <v>0</v>
      </c>
      <c r="H37" s="220"/>
      <c r="I37" s="220">
        <f t="shared" si="2"/>
        <v>0</v>
      </c>
      <c r="J37" s="220"/>
      <c r="K37" s="220">
        <f t="shared" si="3"/>
        <v>0</v>
      </c>
      <c r="L37" s="220"/>
      <c r="M37" s="220">
        <f t="shared" si="4"/>
        <v>0</v>
      </c>
      <c r="N37" s="220"/>
      <c r="O37" s="220">
        <f t="shared" si="5"/>
        <v>0</v>
      </c>
      <c r="P37" s="220"/>
      <c r="Q37" s="220">
        <f t="shared" si="6"/>
        <v>0</v>
      </c>
      <c r="R37" s="220"/>
      <c r="S37" s="220">
        <f t="shared" si="7"/>
        <v>0</v>
      </c>
      <c r="T37" s="220"/>
      <c r="U37" s="220">
        <f t="shared" si="8"/>
        <v>0</v>
      </c>
      <c r="V37" s="220"/>
      <c r="W37" s="220">
        <f t="shared" si="9"/>
        <v>0</v>
      </c>
      <c r="X37" s="220"/>
      <c r="Y37" s="220">
        <f t="shared" si="10"/>
        <v>0</v>
      </c>
      <c r="Z37" s="220"/>
      <c r="AA37" s="220">
        <f t="shared" si="11"/>
        <v>0</v>
      </c>
      <c r="AB37" s="220"/>
      <c r="AC37" s="220">
        <f t="shared" si="12"/>
        <v>0</v>
      </c>
      <c r="AD37" s="220"/>
      <c r="AE37" s="220">
        <f t="shared" si="13"/>
        <v>0</v>
      </c>
      <c r="AF37" s="220"/>
      <c r="AG37" s="220">
        <f t="shared" si="14"/>
        <v>0</v>
      </c>
      <c r="AH37" s="220"/>
      <c r="AI37" s="220">
        <f t="shared" si="15"/>
        <v>0</v>
      </c>
      <c r="AJ37" s="220"/>
      <c r="AK37" s="220">
        <f t="shared" si="16"/>
        <v>0</v>
      </c>
      <c r="AL37" s="220"/>
      <c r="AM37" s="220">
        <f t="shared" si="17"/>
        <v>0</v>
      </c>
      <c r="AN37" s="220"/>
      <c r="AO37" s="220">
        <f t="shared" si="18"/>
        <v>0</v>
      </c>
      <c r="AP37" s="220"/>
      <c r="AQ37" s="220">
        <f t="shared" si="19"/>
        <v>0</v>
      </c>
      <c r="AR37" s="220"/>
      <c r="AS37" s="220">
        <f t="shared" si="20"/>
        <v>0</v>
      </c>
      <c r="AT37" s="220"/>
      <c r="AU37" s="220">
        <f t="shared" si="21"/>
        <v>0</v>
      </c>
      <c r="AV37" s="220"/>
      <c r="AW37" s="220">
        <f t="shared" si="22"/>
        <v>0</v>
      </c>
      <c r="AX37" s="220"/>
      <c r="AY37" s="220">
        <f t="shared" si="23"/>
        <v>0</v>
      </c>
      <c r="AZ37" s="220"/>
      <c r="BA37" s="220">
        <f t="shared" si="24"/>
        <v>0</v>
      </c>
      <c r="BB37" s="220"/>
      <c r="BC37" s="220">
        <f t="shared" si="25"/>
        <v>0</v>
      </c>
      <c r="BD37" s="220"/>
      <c r="BE37" s="220">
        <f t="shared" si="26"/>
        <v>0</v>
      </c>
      <c r="BF37" s="220"/>
      <c r="BG37" s="220">
        <f t="shared" si="27"/>
        <v>0</v>
      </c>
      <c r="BH37" s="220"/>
      <c r="BI37" s="220">
        <f t="shared" si="28"/>
        <v>0</v>
      </c>
      <c r="BJ37" s="220"/>
      <c r="BK37" s="220">
        <f t="shared" si="29"/>
        <v>0</v>
      </c>
      <c r="BL37" s="220"/>
      <c r="BM37" s="220">
        <f t="shared" si="30"/>
        <v>0</v>
      </c>
      <c r="BN37" s="220"/>
      <c r="BO37" s="220">
        <f t="shared" si="31"/>
        <v>0</v>
      </c>
    </row>
    <row r="38" spans="1:67">
      <c r="A38" s="232"/>
      <c r="B38" s="668"/>
      <c r="C38" s="219">
        <f t="shared" si="36"/>
        <v>0</v>
      </c>
      <c r="D38" s="219">
        <f t="shared" si="34"/>
        <v>0</v>
      </c>
      <c r="E38" s="219"/>
      <c r="F38" s="220"/>
      <c r="G38" s="220">
        <f t="shared" si="32"/>
        <v>0</v>
      </c>
      <c r="H38" s="220"/>
      <c r="I38" s="220">
        <f t="shared" si="2"/>
        <v>0</v>
      </c>
      <c r="J38" s="220"/>
      <c r="K38" s="220">
        <f t="shared" si="3"/>
        <v>0</v>
      </c>
      <c r="L38" s="220"/>
      <c r="M38" s="220">
        <f t="shared" si="4"/>
        <v>0</v>
      </c>
      <c r="N38" s="220"/>
      <c r="O38" s="220">
        <f t="shared" si="5"/>
        <v>0</v>
      </c>
      <c r="P38" s="220"/>
      <c r="Q38" s="220">
        <f t="shared" si="6"/>
        <v>0</v>
      </c>
      <c r="R38" s="220"/>
      <c r="S38" s="220">
        <f t="shared" si="7"/>
        <v>0</v>
      </c>
      <c r="T38" s="220"/>
      <c r="U38" s="220">
        <f t="shared" si="8"/>
        <v>0</v>
      </c>
      <c r="V38" s="220"/>
      <c r="W38" s="220">
        <f t="shared" si="9"/>
        <v>0</v>
      </c>
      <c r="X38" s="220"/>
      <c r="Y38" s="220">
        <f t="shared" si="10"/>
        <v>0</v>
      </c>
      <c r="Z38" s="220"/>
      <c r="AA38" s="220">
        <f t="shared" si="11"/>
        <v>0</v>
      </c>
      <c r="AB38" s="220"/>
      <c r="AC38" s="220">
        <f t="shared" si="12"/>
        <v>0</v>
      </c>
      <c r="AD38" s="220"/>
      <c r="AE38" s="220">
        <f t="shared" si="13"/>
        <v>0</v>
      </c>
      <c r="AF38" s="220"/>
      <c r="AG38" s="220">
        <f t="shared" si="14"/>
        <v>0</v>
      </c>
      <c r="AH38" s="220"/>
      <c r="AI38" s="220">
        <f t="shared" si="15"/>
        <v>0</v>
      </c>
      <c r="AJ38" s="220"/>
      <c r="AK38" s="220">
        <f t="shared" si="16"/>
        <v>0</v>
      </c>
      <c r="AL38" s="220"/>
      <c r="AM38" s="220">
        <f t="shared" si="17"/>
        <v>0</v>
      </c>
      <c r="AN38" s="220"/>
      <c r="AO38" s="220">
        <f t="shared" si="18"/>
        <v>0</v>
      </c>
      <c r="AP38" s="220"/>
      <c r="AQ38" s="220">
        <f t="shared" si="19"/>
        <v>0</v>
      </c>
      <c r="AR38" s="220"/>
      <c r="AS38" s="220">
        <f t="shared" si="20"/>
        <v>0</v>
      </c>
      <c r="AT38" s="220"/>
      <c r="AU38" s="220">
        <f t="shared" si="21"/>
        <v>0</v>
      </c>
      <c r="AV38" s="220"/>
      <c r="AW38" s="220">
        <f t="shared" si="22"/>
        <v>0</v>
      </c>
      <c r="AX38" s="220"/>
      <c r="AY38" s="220">
        <f t="shared" si="23"/>
        <v>0</v>
      </c>
      <c r="AZ38" s="220"/>
      <c r="BA38" s="220">
        <f t="shared" si="24"/>
        <v>0</v>
      </c>
      <c r="BB38" s="220"/>
      <c r="BC38" s="220">
        <f t="shared" si="25"/>
        <v>0</v>
      </c>
      <c r="BD38" s="220"/>
      <c r="BE38" s="220">
        <f t="shared" si="26"/>
        <v>0</v>
      </c>
      <c r="BF38" s="220"/>
      <c r="BG38" s="220">
        <f t="shared" si="27"/>
        <v>0</v>
      </c>
      <c r="BH38" s="220"/>
      <c r="BI38" s="220">
        <f t="shared" si="28"/>
        <v>0</v>
      </c>
      <c r="BJ38" s="220"/>
      <c r="BK38" s="220">
        <f t="shared" si="29"/>
        <v>0</v>
      </c>
      <c r="BL38" s="220"/>
      <c r="BM38" s="220">
        <f t="shared" si="30"/>
        <v>0</v>
      </c>
      <c r="BN38" s="220"/>
      <c r="BO38" s="220">
        <f t="shared" si="31"/>
        <v>0</v>
      </c>
    </row>
    <row r="39" spans="1:67">
      <c r="A39" s="232"/>
      <c r="B39" s="668"/>
      <c r="C39" s="219">
        <f t="shared" si="36"/>
        <v>0</v>
      </c>
      <c r="D39" s="219">
        <f t="shared" si="34"/>
        <v>0</v>
      </c>
      <c r="E39" s="219"/>
      <c r="F39" s="220"/>
      <c r="G39" s="220">
        <f t="shared" si="32"/>
        <v>0</v>
      </c>
      <c r="H39" s="220"/>
      <c r="I39" s="220">
        <f t="shared" si="2"/>
        <v>0</v>
      </c>
      <c r="J39" s="220"/>
      <c r="K39" s="220">
        <f t="shared" si="3"/>
        <v>0</v>
      </c>
      <c r="L39" s="220"/>
      <c r="M39" s="220">
        <f t="shared" si="4"/>
        <v>0</v>
      </c>
      <c r="N39" s="220"/>
      <c r="O39" s="220">
        <f t="shared" si="5"/>
        <v>0</v>
      </c>
      <c r="P39" s="220"/>
      <c r="Q39" s="220">
        <f t="shared" si="6"/>
        <v>0</v>
      </c>
      <c r="R39" s="220"/>
      <c r="S39" s="220">
        <f t="shared" si="7"/>
        <v>0</v>
      </c>
      <c r="T39" s="220"/>
      <c r="U39" s="220">
        <f t="shared" si="8"/>
        <v>0</v>
      </c>
      <c r="V39" s="220"/>
      <c r="W39" s="220">
        <f t="shared" si="9"/>
        <v>0</v>
      </c>
      <c r="X39" s="220"/>
      <c r="Y39" s="220">
        <f t="shared" si="10"/>
        <v>0</v>
      </c>
      <c r="Z39" s="220"/>
      <c r="AA39" s="220">
        <f t="shared" si="11"/>
        <v>0</v>
      </c>
      <c r="AB39" s="220"/>
      <c r="AC39" s="220">
        <f t="shared" si="12"/>
        <v>0</v>
      </c>
      <c r="AD39" s="220"/>
      <c r="AE39" s="220">
        <f t="shared" si="13"/>
        <v>0</v>
      </c>
      <c r="AF39" s="220"/>
      <c r="AG39" s="220">
        <f t="shared" si="14"/>
        <v>0</v>
      </c>
      <c r="AH39" s="220"/>
      <c r="AI39" s="220">
        <f t="shared" si="15"/>
        <v>0</v>
      </c>
      <c r="AJ39" s="220"/>
      <c r="AK39" s="220">
        <f t="shared" si="16"/>
        <v>0</v>
      </c>
      <c r="AL39" s="220"/>
      <c r="AM39" s="220">
        <f t="shared" si="17"/>
        <v>0</v>
      </c>
      <c r="AN39" s="220"/>
      <c r="AO39" s="220">
        <f t="shared" si="18"/>
        <v>0</v>
      </c>
      <c r="AP39" s="220"/>
      <c r="AQ39" s="220">
        <f t="shared" si="19"/>
        <v>0</v>
      </c>
      <c r="AR39" s="220"/>
      <c r="AS39" s="220">
        <f t="shared" si="20"/>
        <v>0</v>
      </c>
      <c r="AT39" s="220"/>
      <c r="AU39" s="220">
        <f t="shared" si="21"/>
        <v>0</v>
      </c>
      <c r="AV39" s="220"/>
      <c r="AW39" s="220">
        <f t="shared" si="22"/>
        <v>0</v>
      </c>
      <c r="AX39" s="220"/>
      <c r="AY39" s="220">
        <f t="shared" si="23"/>
        <v>0</v>
      </c>
      <c r="AZ39" s="220"/>
      <c r="BA39" s="220">
        <f t="shared" si="24"/>
        <v>0</v>
      </c>
      <c r="BB39" s="220"/>
      <c r="BC39" s="220">
        <f t="shared" si="25"/>
        <v>0</v>
      </c>
      <c r="BD39" s="220"/>
      <c r="BE39" s="220">
        <f t="shared" si="26"/>
        <v>0</v>
      </c>
      <c r="BF39" s="220"/>
      <c r="BG39" s="220">
        <f t="shared" si="27"/>
        <v>0</v>
      </c>
      <c r="BH39" s="220"/>
      <c r="BI39" s="220">
        <f t="shared" si="28"/>
        <v>0</v>
      </c>
      <c r="BJ39" s="220"/>
      <c r="BK39" s="220">
        <f t="shared" si="29"/>
        <v>0</v>
      </c>
      <c r="BL39" s="220"/>
      <c r="BM39" s="220">
        <f t="shared" si="30"/>
        <v>0</v>
      </c>
      <c r="BN39" s="220"/>
      <c r="BO39" s="220">
        <f t="shared" si="31"/>
        <v>0</v>
      </c>
    </row>
    <row r="40" spans="1:67">
      <c r="A40" s="232"/>
      <c r="B40" s="668"/>
      <c r="C40" s="219">
        <f t="shared" si="36"/>
        <v>0</v>
      </c>
      <c r="D40" s="219">
        <f t="shared" si="34"/>
        <v>0</v>
      </c>
      <c r="E40" s="219"/>
      <c r="F40" s="220"/>
      <c r="G40" s="220">
        <f t="shared" si="32"/>
        <v>0</v>
      </c>
      <c r="H40" s="220"/>
      <c r="I40" s="220">
        <f t="shared" si="2"/>
        <v>0</v>
      </c>
      <c r="J40" s="220"/>
      <c r="K40" s="220">
        <f t="shared" si="3"/>
        <v>0</v>
      </c>
      <c r="L40" s="220"/>
      <c r="M40" s="220">
        <f t="shared" si="4"/>
        <v>0</v>
      </c>
      <c r="N40" s="220"/>
      <c r="O40" s="220">
        <f t="shared" si="5"/>
        <v>0</v>
      </c>
      <c r="P40" s="220"/>
      <c r="Q40" s="220">
        <f t="shared" si="6"/>
        <v>0</v>
      </c>
      <c r="R40" s="220"/>
      <c r="S40" s="220">
        <f t="shared" si="7"/>
        <v>0</v>
      </c>
      <c r="T40" s="220"/>
      <c r="U40" s="220">
        <f t="shared" si="8"/>
        <v>0</v>
      </c>
      <c r="V40" s="220"/>
      <c r="W40" s="220">
        <f t="shared" si="9"/>
        <v>0</v>
      </c>
      <c r="X40" s="220"/>
      <c r="Y40" s="220">
        <f t="shared" si="10"/>
        <v>0</v>
      </c>
      <c r="Z40" s="220"/>
      <c r="AA40" s="220">
        <f t="shared" si="11"/>
        <v>0</v>
      </c>
      <c r="AB40" s="220"/>
      <c r="AC40" s="220">
        <f t="shared" si="12"/>
        <v>0</v>
      </c>
      <c r="AD40" s="220"/>
      <c r="AE40" s="220">
        <f t="shared" si="13"/>
        <v>0</v>
      </c>
      <c r="AF40" s="220"/>
      <c r="AG40" s="220">
        <f t="shared" si="14"/>
        <v>0</v>
      </c>
      <c r="AH40" s="220"/>
      <c r="AI40" s="220">
        <f t="shared" si="15"/>
        <v>0</v>
      </c>
      <c r="AJ40" s="220"/>
      <c r="AK40" s="220">
        <f t="shared" si="16"/>
        <v>0</v>
      </c>
      <c r="AL40" s="220"/>
      <c r="AM40" s="220">
        <f t="shared" si="17"/>
        <v>0</v>
      </c>
      <c r="AN40" s="220"/>
      <c r="AO40" s="220">
        <f t="shared" si="18"/>
        <v>0</v>
      </c>
      <c r="AP40" s="220"/>
      <c r="AQ40" s="220">
        <f t="shared" si="19"/>
        <v>0</v>
      </c>
      <c r="AR40" s="220"/>
      <c r="AS40" s="220">
        <f t="shared" si="20"/>
        <v>0</v>
      </c>
      <c r="AT40" s="220"/>
      <c r="AU40" s="220">
        <f t="shared" si="21"/>
        <v>0</v>
      </c>
      <c r="AV40" s="220"/>
      <c r="AW40" s="220">
        <f t="shared" si="22"/>
        <v>0</v>
      </c>
      <c r="AX40" s="220"/>
      <c r="AY40" s="220">
        <f t="shared" si="23"/>
        <v>0</v>
      </c>
      <c r="AZ40" s="220"/>
      <c r="BA40" s="220">
        <f t="shared" si="24"/>
        <v>0</v>
      </c>
      <c r="BB40" s="220"/>
      <c r="BC40" s="220">
        <f t="shared" si="25"/>
        <v>0</v>
      </c>
      <c r="BD40" s="220"/>
      <c r="BE40" s="220">
        <f t="shared" si="26"/>
        <v>0</v>
      </c>
      <c r="BF40" s="220"/>
      <c r="BG40" s="220">
        <f t="shared" si="27"/>
        <v>0</v>
      </c>
      <c r="BH40" s="220"/>
      <c r="BI40" s="220">
        <f t="shared" si="28"/>
        <v>0</v>
      </c>
      <c r="BJ40" s="220"/>
      <c r="BK40" s="220">
        <f t="shared" si="29"/>
        <v>0</v>
      </c>
      <c r="BL40" s="220"/>
      <c r="BM40" s="220">
        <f t="shared" si="30"/>
        <v>0</v>
      </c>
      <c r="BN40" s="220"/>
      <c r="BO40" s="220">
        <f t="shared" si="31"/>
        <v>0</v>
      </c>
    </row>
    <row r="41" spans="1:67">
      <c r="A41" s="232"/>
      <c r="B41" s="668"/>
      <c r="C41" s="219">
        <f t="shared" si="36"/>
        <v>0</v>
      </c>
      <c r="D41" s="219">
        <f t="shared" si="34"/>
        <v>0</v>
      </c>
      <c r="E41" s="219"/>
      <c r="F41" s="220"/>
      <c r="G41" s="220">
        <f t="shared" si="32"/>
        <v>0</v>
      </c>
      <c r="H41" s="220"/>
      <c r="I41" s="220">
        <f t="shared" si="2"/>
        <v>0</v>
      </c>
      <c r="J41" s="220"/>
      <c r="K41" s="220">
        <f t="shared" si="3"/>
        <v>0</v>
      </c>
      <c r="L41" s="220"/>
      <c r="M41" s="220">
        <f t="shared" si="4"/>
        <v>0</v>
      </c>
      <c r="N41" s="220"/>
      <c r="O41" s="220">
        <f t="shared" si="5"/>
        <v>0</v>
      </c>
      <c r="P41" s="220"/>
      <c r="Q41" s="220">
        <f t="shared" si="6"/>
        <v>0</v>
      </c>
      <c r="R41" s="220"/>
      <c r="S41" s="220">
        <f t="shared" si="7"/>
        <v>0</v>
      </c>
      <c r="T41" s="220"/>
      <c r="U41" s="220">
        <f t="shared" si="8"/>
        <v>0</v>
      </c>
      <c r="V41" s="220"/>
      <c r="W41" s="220">
        <f t="shared" si="9"/>
        <v>0</v>
      </c>
      <c r="X41" s="220"/>
      <c r="Y41" s="220">
        <f t="shared" si="10"/>
        <v>0</v>
      </c>
      <c r="Z41" s="220"/>
      <c r="AA41" s="220">
        <f t="shared" si="11"/>
        <v>0</v>
      </c>
      <c r="AB41" s="220"/>
      <c r="AC41" s="220">
        <f t="shared" si="12"/>
        <v>0</v>
      </c>
      <c r="AD41" s="220"/>
      <c r="AE41" s="220">
        <f t="shared" si="13"/>
        <v>0</v>
      </c>
      <c r="AF41" s="220"/>
      <c r="AG41" s="220">
        <f t="shared" si="14"/>
        <v>0</v>
      </c>
      <c r="AH41" s="220"/>
      <c r="AI41" s="220">
        <f t="shared" si="15"/>
        <v>0</v>
      </c>
      <c r="AJ41" s="220"/>
      <c r="AK41" s="220">
        <f t="shared" si="16"/>
        <v>0</v>
      </c>
      <c r="AL41" s="220"/>
      <c r="AM41" s="220">
        <f t="shared" si="17"/>
        <v>0</v>
      </c>
      <c r="AN41" s="220"/>
      <c r="AO41" s="220">
        <f t="shared" si="18"/>
        <v>0</v>
      </c>
      <c r="AP41" s="220"/>
      <c r="AQ41" s="220">
        <f t="shared" si="19"/>
        <v>0</v>
      </c>
      <c r="AR41" s="220"/>
      <c r="AS41" s="220">
        <f t="shared" si="20"/>
        <v>0</v>
      </c>
      <c r="AT41" s="220"/>
      <c r="AU41" s="220">
        <f t="shared" si="21"/>
        <v>0</v>
      </c>
      <c r="AV41" s="220"/>
      <c r="AW41" s="220">
        <f t="shared" si="22"/>
        <v>0</v>
      </c>
      <c r="AX41" s="220"/>
      <c r="AY41" s="220">
        <f t="shared" si="23"/>
        <v>0</v>
      </c>
      <c r="AZ41" s="220"/>
      <c r="BA41" s="220">
        <f t="shared" si="24"/>
        <v>0</v>
      </c>
      <c r="BB41" s="220"/>
      <c r="BC41" s="220">
        <f t="shared" si="25"/>
        <v>0</v>
      </c>
      <c r="BD41" s="220"/>
      <c r="BE41" s="220">
        <f t="shared" si="26"/>
        <v>0</v>
      </c>
      <c r="BF41" s="220"/>
      <c r="BG41" s="220">
        <f t="shared" si="27"/>
        <v>0</v>
      </c>
      <c r="BH41" s="220"/>
      <c r="BI41" s="220">
        <f t="shared" si="28"/>
        <v>0</v>
      </c>
      <c r="BJ41" s="220"/>
      <c r="BK41" s="220">
        <f t="shared" si="29"/>
        <v>0</v>
      </c>
      <c r="BL41" s="220"/>
      <c r="BM41" s="220">
        <f t="shared" si="30"/>
        <v>0</v>
      </c>
      <c r="BN41" s="220"/>
      <c r="BO41" s="220">
        <f t="shared" si="31"/>
        <v>0</v>
      </c>
    </row>
    <row r="42" spans="1:67">
      <c r="A42" s="232"/>
      <c r="B42" s="668"/>
      <c r="C42" s="219">
        <f t="shared" si="36"/>
        <v>0</v>
      </c>
      <c r="D42" s="219">
        <f t="shared" si="34"/>
        <v>0</v>
      </c>
      <c r="E42" s="219"/>
      <c r="F42" s="220"/>
      <c r="G42" s="220">
        <f t="shared" si="32"/>
        <v>0</v>
      </c>
      <c r="H42" s="220"/>
      <c r="I42" s="220">
        <f t="shared" si="2"/>
        <v>0</v>
      </c>
      <c r="J42" s="220"/>
      <c r="K42" s="220">
        <f t="shared" si="3"/>
        <v>0</v>
      </c>
      <c r="L42" s="220"/>
      <c r="M42" s="220">
        <f t="shared" si="4"/>
        <v>0</v>
      </c>
      <c r="N42" s="220"/>
      <c r="O42" s="220">
        <f t="shared" si="5"/>
        <v>0</v>
      </c>
      <c r="P42" s="220"/>
      <c r="Q42" s="220">
        <f t="shared" si="6"/>
        <v>0</v>
      </c>
      <c r="R42" s="220"/>
      <c r="S42" s="220">
        <f t="shared" si="7"/>
        <v>0</v>
      </c>
      <c r="T42" s="220"/>
      <c r="U42" s="220">
        <f t="shared" si="8"/>
        <v>0</v>
      </c>
      <c r="V42" s="220"/>
      <c r="W42" s="220">
        <f t="shared" si="9"/>
        <v>0</v>
      </c>
      <c r="X42" s="220"/>
      <c r="Y42" s="220">
        <f t="shared" si="10"/>
        <v>0</v>
      </c>
      <c r="Z42" s="220"/>
      <c r="AA42" s="220">
        <f t="shared" si="11"/>
        <v>0</v>
      </c>
      <c r="AB42" s="220"/>
      <c r="AC42" s="220">
        <f t="shared" si="12"/>
        <v>0</v>
      </c>
      <c r="AD42" s="220"/>
      <c r="AE42" s="220">
        <f t="shared" si="13"/>
        <v>0</v>
      </c>
      <c r="AF42" s="220"/>
      <c r="AG42" s="220">
        <f t="shared" si="14"/>
        <v>0</v>
      </c>
      <c r="AH42" s="220"/>
      <c r="AI42" s="220">
        <f t="shared" si="15"/>
        <v>0</v>
      </c>
      <c r="AJ42" s="220"/>
      <c r="AK42" s="220">
        <f t="shared" si="16"/>
        <v>0</v>
      </c>
      <c r="AL42" s="220"/>
      <c r="AM42" s="220">
        <f t="shared" si="17"/>
        <v>0</v>
      </c>
      <c r="AN42" s="220"/>
      <c r="AO42" s="220">
        <f t="shared" si="18"/>
        <v>0</v>
      </c>
      <c r="AP42" s="220"/>
      <c r="AQ42" s="220">
        <f t="shared" si="19"/>
        <v>0</v>
      </c>
      <c r="AR42" s="220"/>
      <c r="AS42" s="220">
        <f t="shared" si="20"/>
        <v>0</v>
      </c>
      <c r="AT42" s="220"/>
      <c r="AU42" s="220">
        <f t="shared" si="21"/>
        <v>0</v>
      </c>
      <c r="AV42" s="220"/>
      <c r="AW42" s="220">
        <f t="shared" si="22"/>
        <v>0</v>
      </c>
      <c r="AX42" s="220"/>
      <c r="AY42" s="220">
        <f t="shared" si="23"/>
        <v>0</v>
      </c>
      <c r="AZ42" s="220"/>
      <c r="BA42" s="220">
        <f t="shared" si="24"/>
        <v>0</v>
      </c>
      <c r="BB42" s="220"/>
      <c r="BC42" s="220">
        <f t="shared" si="25"/>
        <v>0</v>
      </c>
      <c r="BD42" s="220"/>
      <c r="BE42" s="220">
        <f t="shared" si="26"/>
        <v>0</v>
      </c>
      <c r="BF42" s="220"/>
      <c r="BG42" s="220">
        <f t="shared" si="27"/>
        <v>0</v>
      </c>
      <c r="BH42" s="220"/>
      <c r="BI42" s="220">
        <f t="shared" si="28"/>
        <v>0</v>
      </c>
      <c r="BJ42" s="220"/>
      <c r="BK42" s="220">
        <f t="shared" si="29"/>
        <v>0</v>
      </c>
      <c r="BL42" s="220"/>
      <c r="BM42" s="220">
        <f t="shared" si="30"/>
        <v>0</v>
      </c>
      <c r="BN42" s="220"/>
      <c r="BO42" s="220">
        <f t="shared" si="31"/>
        <v>0</v>
      </c>
    </row>
    <row r="43" spans="1:67">
      <c r="A43" s="232"/>
      <c r="B43" s="668"/>
      <c r="C43" s="219">
        <f t="shared" si="36"/>
        <v>0</v>
      </c>
      <c r="D43" s="219">
        <f t="shared" si="34"/>
        <v>0</v>
      </c>
      <c r="E43" s="219"/>
      <c r="F43" s="220"/>
      <c r="G43" s="220">
        <f t="shared" si="32"/>
        <v>0</v>
      </c>
      <c r="H43" s="220"/>
      <c r="I43" s="220">
        <f t="shared" si="2"/>
        <v>0</v>
      </c>
      <c r="J43" s="220"/>
      <c r="K43" s="220">
        <f t="shared" si="3"/>
        <v>0</v>
      </c>
      <c r="L43" s="220"/>
      <c r="M43" s="220">
        <f t="shared" si="4"/>
        <v>0</v>
      </c>
      <c r="N43" s="220"/>
      <c r="O43" s="220">
        <f t="shared" si="5"/>
        <v>0</v>
      </c>
      <c r="P43" s="220"/>
      <c r="Q43" s="220">
        <f t="shared" si="6"/>
        <v>0</v>
      </c>
      <c r="R43" s="220"/>
      <c r="S43" s="220">
        <f t="shared" si="7"/>
        <v>0</v>
      </c>
      <c r="T43" s="220"/>
      <c r="U43" s="220">
        <f t="shared" si="8"/>
        <v>0</v>
      </c>
      <c r="V43" s="220"/>
      <c r="W43" s="220">
        <f t="shared" si="9"/>
        <v>0</v>
      </c>
      <c r="X43" s="220"/>
      <c r="Y43" s="220">
        <f t="shared" si="10"/>
        <v>0</v>
      </c>
      <c r="Z43" s="220"/>
      <c r="AA43" s="220">
        <f t="shared" si="11"/>
        <v>0</v>
      </c>
      <c r="AB43" s="220"/>
      <c r="AC43" s="220">
        <f t="shared" si="12"/>
        <v>0</v>
      </c>
      <c r="AD43" s="220"/>
      <c r="AE43" s="220">
        <f t="shared" si="13"/>
        <v>0</v>
      </c>
      <c r="AF43" s="220"/>
      <c r="AG43" s="220">
        <f t="shared" si="14"/>
        <v>0</v>
      </c>
      <c r="AH43" s="220"/>
      <c r="AI43" s="220">
        <f t="shared" si="15"/>
        <v>0</v>
      </c>
      <c r="AJ43" s="220"/>
      <c r="AK43" s="220">
        <f t="shared" si="16"/>
        <v>0</v>
      </c>
      <c r="AL43" s="220"/>
      <c r="AM43" s="220">
        <f t="shared" si="17"/>
        <v>0</v>
      </c>
      <c r="AN43" s="220"/>
      <c r="AO43" s="220">
        <f t="shared" si="18"/>
        <v>0</v>
      </c>
      <c r="AP43" s="220"/>
      <c r="AQ43" s="220">
        <f t="shared" si="19"/>
        <v>0</v>
      </c>
      <c r="AR43" s="220"/>
      <c r="AS43" s="220">
        <f t="shared" si="20"/>
        <v>0</v>
      </c>
      <c r="AT43" s="220"/>
      <c r="AU43" s="220">
        <f t="shared" si="21"/>
        <v>0</v>
      </c>
      <c r="AV43" s="220"/>
      <c r="AW43" s="220">
        <f t="shared" si="22"/>
        <v>0</v>
      </c>
      <c r="AX43" s="220"/>
      <c r="AY43" s="220">
        <f t="shared" si="23"/>
        <v>0</v>
      </c>
      <c r="AZ43" s="220"/>
      <c r="BA43" s="220">
        <f t="shared" si="24"/>
        <v>0</v>
      </c>
      <c r="BB43" s="220"/>
      <c r="BC43" s="220">
        <f t="shared" si="25"/>
        <v>0</v>
      </c>
      <c r="BD43" s="220"/>
      <c r="BE43" s="220">
        <f t="shared" si="26"/>
        <v>0</v>
      </c>
      <c r="BF43" s="220"/>
      <c r="BG43" s="220">
        <f t="shared" si="27"/>
        <v>0</v>
      </c>
      <c r="BH43" s="220"/>
      <c r="BI43" s="220">
        <f t="shared" si="28"/>
        <v>0</v>
      </c>
      <c r="BJ43" s="220"/>
      <c r="BK43" s="220">
        <f t="shared" si="29"/>
        <v>0</v>
      </c>
      <c r="BL43" s="220"/>
      <c r="BM43" s="220">
        <f t="shared" si="30"/>
        <v>0</v>
      </c>
      <c r="BN43" s="220"/>
      <c r="BO43" s="220">
        <f t="shared" si="31"/>
        <v>0</v>
      </c>
    </row>
    <row r="44" spans="1:67">
      <c r="A44" s="232"/>
      <c r="B44" s="668"/>
      <c r="C44" s="219">
        <f t="shared" si="36"/>
        <v>0</v>
      </c>
      <c r="D44" s="219">
        <f t="shared" si="34"/>
        <v>0</v>
      </c>
      <c r="E44" s="219"/>
      <c r="F44" s="220"/>
      <c r="G44" s="220">
        <f t="shared" si="32"/>
        <v>0</v>
      </c>
      <c r="H44" s="220"/>
      <c r="I44" s="220">
        <f t="shared" si="2"/>
        <v>0</v>
      </c>
      <c r="J44" s="220"/>
      <c r="K44" s="220">
        <f t="shared" si="3"/>
        <v>0</v>
      </c>
      <c r="L44" s="220"/>
      <c r="M44" s="220">
        <f t="shared" si="4"/>
        <v>0</v>
      </c>
      <c r="N44" s="220"/>
      <c r="O44" s="220">
        <f t="shared" si="5"/>
        <v>0</v>
      </c>
      <c r="P44" s="220"/>
      <c r="Q44" s="220">
        <f t="shared" si="6"/>
        <v>0</v>
      </c>
      <c r="R44" s="220"/>
      <c r="S44" s="220">
        <f t="shared" si="7"/>
        <v>0</v>
      </c>
      <c r="T44" s="220"/>
      <c r="U44" s="220">
        <f t="shared" si="8"/>
        <v>0</v>
      </c>
      <c r="V44" s="220"/>
      <c r="W44" s="220">
        <f t="shared" si="9"/>
        <v>0</v>
      </c>
      <c r="X44" s="220"/>
      <c r="Y44" s="220">
        <f t="shared" si="10"/>
        <v>0</v>
      </c>
      <c r="Z44" s="220"/>
      <c r="AA44" s="220">
        <f t="shared" si="11"/>
        <v>0</v>
      </c>
      <c r="AB44" s="220"/>
      <c r="AC44" s="220">
        <f t="shared" si="12"/>
        <v>0</v>
      </c>
      <c r="AD44" s="220"/>
      <c r="AE44" s="220">
        <f t="shared" si="13"/>
        <v>0</v>
      </c>
      <c r="AF44" s="220"/>
      <c r="AG44" s="220">
        <f t="shared" si="14"/>
        <v>0</v>
      </c>
      <c r="AH44" s="220"/>
      <c r="AI44" s="220">
        <f t="shared" si="15"/>
        <v>0</v>
      </c>
      <c r="AJ44" s="220"/>
      <c r="AK44" s="220">
        <f t="shared" si="16"/>
        <v>0</v>
      </c>
      <c r="AL44" s="220"/>
      <c r="AM44" s="220">
        <f t="shared" si="17"/>
        <v>0</v>
      </c>
      <c r="AN44" s="220"/>
      <c r="AO44" s="220">
        <f t="shared" si="18"/>
        <v>0</v>
      </c>
      <c r="AP44" s="220"/>
      <c r="AQ44" s="220">
        <f t="shared" si="19"/>
        <v>0</v>
      </c>
      <c r="AR44" s="220"/>
      <c r="AS44" s="220">
        <f t="shared" si="20"/>
        <v>0</v>
      </c>
      <c r="AT44" s="220"/>
      <c r="AU44" s="220">
        <f t="shared" si="21"/>
        <v>0</v>
      </c>
      <c r="AV44" s="220"/>
      <c r="AW44" s="220">
        <f t="shared" si="22"/>
        <v>0</v>
      </c>
      <c r="AX44" s="220"/>
      <c r="AY44" s="220">
        <f t="shared" si="23"/>
        <v>0</v>
      </c>
      <c r="AZ44" s="220"/>
      <c r="BA44" s="220">
        <f t="shared" si="24"/>
        <v>0</v>
      </c>
      <c r="BB44" s="220"/>
      <c r="BC44" s="220">
        <f t="shared" si="25"/>
        <v>0</v>
      </c>
      <c r="BD44" s="220"/>
      <c r="BE44" s="220">
        <f t="shared" si="26"/>
        <v>0</v>
      </c>
      <c r="BF44" s="220"/>
      <c r="BG44" s="220">
        <f t="shared" si="27"/>
        <v>0</v>
      </c>
      <c r="BH44" s="220"/>
      <c r="BI44" s="220">
        <f t="shared" si="28"/>
        <v>0</v>
      </c>
      <c r="BJ44" s="220"/>
      <c r="BK44" s="220">
        <f t="shared" si="29"/>
        <v>0</v>
      </c>
      <c r="BL44" s="220"/>
      <c r="BM44" s="220">
        <f t="shared" si="30"/>
        <v>0</v>
      </c>
      <c r="BN44" s="220"/>
      <c r="BO44" s="220">
        <f t="shared" si="31"/>
        <v>0</v>
      </c>
    </row>
    <row r="45" spans="1:67">
      <c r="A45" s="232"/>
      <c r="B45" s="668"/>
      <c r="C45" s="219">
        <f t="shared" si="36"/>
        <v>0</v>
      </c>
      <c r="D45" s="219">
        <f t="shared" si="34"/>
        <v>0</v>
      </c>
      <c r="E45" s="219"/>
      <c r="F45" s="220"/>
      <c r="G45" s="220">
        <f t="shared" si="32"/>
        <v>0</v>
      </c>
      <c r="H45" s="220"/>
      <c r="I45" s="220">
        <f t="shared" si="2"/>
        <v>0</v>
      </c>
      <c r="J45" s="220"/>
      <c r="K45" s="220">
        <f t="shared" si="3"/>
        <v>0</v>
      </c>
      <c r="L45" s="220"/>
      <c r="M45" s="220">
        <f t="shared" si="4"/>
        <v>0</v>
      </c>
      <c r="N45" s="220"/>
      <c r="O45" s="220">
        <f t="shared" si="5"/>
        <v>0</v>
      </c>
      <c r="P45" s="220"/>
      <c r="Q45" s="220">
        <f t="shared" si="6"/>
        <v>0</v>
      </c>
      <c r="R45" s="220"/>
      <c r="S45" s="220">
        <f t="shared" si="7"/>
        <v>0</v>
      </c>
      <c r="T45" s="220"/>
      <c r="U45" s="220">
        <f t="shared" si="8"/>
        <v>0</v>
      </c>
      <c r="V45" s="220"/>
      <c r="W45" s="220">
        <f t="shared" si="9"/>
        <v>0</v>
      </c>
      <c r="X45" s="220"/>
      <c r="Y45" s="220">
        <f t="shared" si="10"/>
        <v>0</v>
      </c>
      <c r="Z45" s="220"/>
      <c r="AA45" s="220">
        <f t="shared" si="11"/>
        <v>0</v>
      </c>
      <c r="AB45" s="220"/>
      <c r="AC45" s="220">
        <f t="shared" si="12"/>
        <v>0</v>
      </c>
      <c r="AD45" s="220"/>
      <c r="AE45" s="220">
        <f t="shared" si="13"/>
        <v>0</v>
      </c>
      <c r="AF45" s="220"/>
      <c r="AG45" s="220">
        <f t="shared" si="14"/>
        <v>0</v>
      </c>
      <c r="AH45" s="220"/>
      <c r="AI45" s="220">
        <f t="shared" si="15"/>
        <v>0</v>
      </c>
      <c r="AJ45" s="220"/>
      <c r="AK45" s="220">
        <f t="shared" si="16"/>
        <v>0</v>
      </c>
      <c r="AL45" s="220"/>
      <c r="AM45" s="220">
        <f t="shared" si="17"/>
        <v>0</v>
      </c>
      <c r="AN45" s="220"/>
      <c r="AO45" s="220">
        <f t="shared" si="18"/>
        <v>0</v>
      </c>
      <c r="AP45" s="220"/>
      <c r="AQ45" s="220">
        <f t="shared" si="19"/>
        <v>0</v>
      </c>
      <c r="AR45" s="220"/>
      <c r="AS45" s="220">
        <f t="shared" si="20"/>
        <v>0</v>
      </c>
      <c r="AT45" s="220"/>
      <c r="AU45" s="220">
        <f t="shared" si="21"/>
        <v>0</v>
      </c>
      <c r="AV45" s="220"/>
      <c r="AW45" s="220">
        <f t="shared" si="22"/>
        <v>0</v>
      </c>
      <c r="AX45" s="220"/>
      <c r="AY45" s="220">
        <f t="shared" si="23"/>
        <v>0</v>
      </c>
      <c r="AZ45" s="220"/>
      <c r="BA45" s="220">
        <f t="shared" si="24"/>
        <v>0</v>
      </c>
      <c r="BB45" s="220"/>
      <c r="BC45" s="220">
        <f t="shared" si="25"/>
        <v>0</v>
      </c>
      <c r="BD45" s="220"/>
      <c r="BE45" s="220">
        <f t="shared" si="26"/>
        <v>0</v>
      </c>
      <c r="BF45" s="220"/>
      <c r="BG45" s="220">
        <f t="shared" si="27"/>
        <v>0</v>
      </c>
      <c r="BH45" s="220"/>
      <c r="BI45" s="220">
        <f t="shared" si="28"/>
        <v>0</v>
      </c>
      <c r="BJ45" s="220"/>
      <c r="BK45" s="220">
        <f t="shared" si="29"/>
        <v>0</v>
      </c>
      <c r="BL45" s="220"/>
      <c r="BM45" s="220">
        <f t="shared" si="30"/>
        <v>0</v>
      </c>
      <c r="BN45" s="220"/>
      <c r="BO45" s="220">
        <f t="shared" si="31"/>
        <v>0</v>
      </c>
    </row>
    <row r="46" spans="1:67">
      <c r="A46" s="232"/>
      <c r="B46" s="668"/>
      <c r="C46" s="219">
        <f t="shared" si="36"/>
        <v>0</v>
      </c>
      <c r="D46" s="219">
        <f t="shared" si="34"/>
        <v>0</v>
      </c>
      <c r="E46" s="219"/>
      <c r="F46" s="220"/>
      <c r="G46" s="220">
        <f t="shared" si="32"/>
        <v>0</v>
      </c>
      <c r="H46" s="220"/>
      <c r="I46" s="220">
        <f t="shared" si="2"/>
        <v>0</v>
      </c>
      <c r="J46" s="220"/>
      <c r="K46" s="220">
        <f t="shared" si="3"/>
        <v>0</v>
      </c>
      <c r="L46" s="220"/>
      <c r="M46" s="220">
        <f t="shared" si="4"/>
        <v>0</v>
      </c>
      <c r="N46" s="220"/>
      <c r="O46" s="220">
        <f t="shared" si="5"/>
        <v>0</v>
      </c>
      <c r="P46" s="220"/>
      <c r="Q46" s="220">
        <f t="shared" si="6"/>
        <v>0</v>
      </c>
      <c r="R46" s="220"/>
      <c r="S46" s="220">
        <f t="shared" si="7"/>
        <v>0</v>
      </c>
      <c r="T46" s="220"/>
      <c r="U46" s="220">
        <f t="shared" si="8"/>
        <v>0</v>
      </c>
      <c r="V46" s="220"/>
      <c r="W46" s="220">
        <f t="shared" si="9"/>
        <v>0</v>
      </c>
      <c r="X46" s="220"/>
      <c r="Y46" s="220">
        <f t="shared" si="10"/>
        <v>0</v>
      </c>
      <c r="Z46" s="220"/>
      <c r="AA46" s="220">
        <f t="shared" si="11"/>
        <v>0</v>
      </c>
      <c r="AB46" s="220"/>
      <c r="AC46" s="220">
        <f t="shared" si="12"/>
        <v>0</v>
      </c>
      <c r="AD46" s="220"/>
      <c r="AE46" s="220">
        <f t="shared" si="13"/>
        <v>0</v>
      </c>
      <c r="AF46" s="220"/>
      <c r="AG46" s="220">
        <f t="shared" si="14"/>
        <v>0</v>
      </c>
      <c r="AH46" s="220"/>
      <c r="AI46" s="220">
        <f t="shared" si="15"/>
        <v>0</v>
      </c>
      <c r="AJ46" s="220"/>
      <c r="AK46" s="220">
        <f t="shared" si="16"/>
        <v>0</v>
      </c>
      <c r="AL46" s="220"/>
      <c r="AM46" s="220">
        <f t="shared" si="17"/>
        <v>0</v>
      </c>
      <c r="AN46" s="220"/>
      <c r="AO46" s="220">
        <f t="shared" si="18"/>
        <v>0</v>
      </c>
      <c r="AP46" s="220"/>
      <c r="AQ46" s="220">
        <f t="shared" si="19"/>
        <v>0</v>
      </c>
      <c r="AR46" s="220"/>
      <c r="AS46" s="220">
        <f t="shared" si="20"/>
        <v>0</v>
      </c>
      <c r="AT46" s="220"/>
      <c r="AU46" s="220">
        <f t="shared" si="21"/>
        <v>0</v>
      </c>
      <c r="AV46" s="220"/>
      <c r="AW46" s="220">
        <f t="shared" si="22"/>
        <v>0</v>
      </c>
      <c r="AX46" s="220"/>
      <c r="AY46" s="220">
        <f t="shared" si="23"/>
        <v>0</v>
      </c>
      <c r="AZ46" s="220"/>
      <c r="BA46" s="220">
        <f t="shared" si="24"/>
        <v>0</v>
      </c>
      <c r="BB46" s="220"/>
      <c r="BC46" s="220">
        <f t="shared" si="25"/>
        <v>0</v>
      </c>
      <c r="BD46" s="220"/>
      <c r="BE46" s="220">
        <f t="shared" si="26"/>
        <v>0</v>
      </c>
      <c r="BF46" s="220"/>
      <c r="BG46" s="220">
        <f t="shared" si="27"/>
        <v>0</v>
      </c>
      <c r="BH46" s="220"/>
      <c r="BI46" s="220">
        <f t="shared" si="28"/>
        <v>0</v>
      </c>
      <c r="BJ46" s="220"/>
      <c r="BK46" s="220">
        <f t="shared" si="29"/>
        <v>0</v>
      </c>
      <c r="BL46" s="220"/>
      <c r="BM46" s="220">
        <f t="shared" si="30"/>
        <v>0</v>
      </c>
      <c r="BN46" s="220"/>
      <c r="BO46" s="220">
        <f t="shared" si="31"/>
        <v>0</v>
      </c>
    </row>
    <row r="47" spans="1:67">
      <c r="A47" s="232"/>
      <c r="B47" s="668"/>
      <c r="C47" s="219">
        <f t="shared" si="36"/>
        <v>0</v>
      </c>
      <c r="D47" s="219">
        <f t="shared" si="34"/>
        <v>0</v>
      </c>
      <c r="E47" s="219"/>
      <c r="F47" s="220"/>
      <c r="G47" s="220">
        <f t="shared" si="32"/>
        <v>0</v>
      </c>
      <c r="H47" s="220"/>
      <c r="I47" s="220">
        <f t="shared" si="2"/>
        <v>0</v>
      </c>
      <c r="J47" s="220"/>
      <c r="K47" s="220">
        <f t="shared" si="3"/>
        <v>0</v>
      </c>
      <c r="L47" s="220"/>
      <c r="M47" s="220">
        <f t="shared" si="4"/>
        <v>0</v>
      </c>
      <c r="N47" s="220"/>
      <c r="O47" s="220">
        <f t="shared" si="5"/>
        <v>0</v>
      </c>
      <c r="P47" s="220"/>
      <c r="Q47" s="220">
        <f t="shared" si="6"/>
        <v>0</v>
      </c>
      <c r="R47" s="220"/>
      <c r="S47" s="220">
        <f t="shared" si="7"/>
        <v>0</v>
      </c>
      <c r="T47" s="220"/>
      <c r="U47" s="220">
        <f t="shared" si="8"/>
        <v>0</v>
      </c>
      <c r="V47" s="220"/>
      <c r="W47" s="220">
        <f t="shared" si="9"/>
        <v>0</v>
      </c>
      <c r="X47" s="220"/>
      <c r="Y47" s="220">
        <f t="shared" si="10"/>
        <v>0</v>
      </c>
      <c r="Z47" s="220"/>
      <c r="AA47" s="220">
        <f t="shared" si="11"/>
        <v>0</v>
      </c>
      <c r="AB47" s="220"/>
      <c r="AC47" s="220">
        <f t="shared" si="12"/>
        <v>0</v>
      </c>
      <c r="AD47" s="220"/>
      <c r="AE47" s="220">
        <f t="shared" si="13"/>
        <v>0</v>
      </c>
      <c r="AF47" s="220"/>
      <c r="AG47" s="220">
        <f t="shared" si="14"/>
        <v>0</v>
      </c>
      <c r="AH47" s="220"/>
      <c r="AI47" s="220">
        <f t="shared" si="15"/>
        <v>0</v>
      </c>
      <c r="AJ47" s="220"/>
      <c r="AK47" s="220">
        <f t="shared" si="16"/>
        <v>0</v>
      </c>
      <c r="AL47" s="220"/>
      <c r="AM47" s="220">
        <f t="shared" si="17"/>
        <v>0</v>
      </c>
      <c r="AN47" s="220"/>
      <c r="AO47" s="220">
        <f t="shared" si="18"/>
        <v>0</v>
      </c>
      <c r="AP47" s="220"/>
      <c r="AQ47" s="220">
        <f t="shared" si="19"/>
        <v>0</v>
      </c>
      <c r="AR47" s="220"/>
      <c r="AS47" s="220">
        <f t="shared" si="20"/>
        <v>0</v>
      </c>
      <c r="AT47" s="220"/>
      <c r="AU47" s="220">
        <f t="shared" si="21"/>
        <v>0</v>
      </c>
      <c r="AV47" s="220"/>
      <c r="AW47" s="220">
        <f t="shared" si="22"/>
        <v>0</v>
      </c>
      <c r="AX47" s="220"/>
      <c r="AY47" s="220">
        <f t="shared" si="23"/>
        <v>0</v>
      </c>
      <c r="AZ47" s="220"/>
      <c r="BA47" s="220">
        <f t="shared" si="24"/>
        <v>0</v>
      </c>
      <c r="BB47" s="220"/>
      <c r="BC47" s="220">
        <f t="shared" si="25"/>
        <v>0</v>
      </c>
      <c r="BD47" s="220"/>
      <c r="BE47" s="220">
        <f t="shared" si="26"/>
        <v>0</v>
      </c>
      <c r="BF47" s="220"/>
      <c r="BG47" s="220">
        <f t="shared" si="27"/>
        <v>0</v>
      </c>
      <c r="BH47" s="220"/>
      <c r="BI47" s="220">
        <f t="shared" si="28"/>
        <v>0</v>
      </c>
      <c r="BJ47" s="220"/>
      <c r="BK47" s="220">
        <f t="shared" si="29"/>
        <v>0</v>
      </c>
      <c r="BL47" s="220"/>
      <c r="BM47" s="220">
        <f t="shared" si="30"/>
        <v>0</v>
      </c>
      <c r="BN47" s="220"/>
      <c r="BO47" s="220">
        <f t="shared" si="31"/>
        <v>0</v>
      </c>
    </row>
    <row r="48" spans="1:67">
      <c r="A48" s="232"/>
      <c r="B48" s="668"/>
      <c r="C48" s="219">
        <f t="shared" si="35"/>
        <v>0</v>
      </c>
      <c r="D48" s="219">
        <f t="shared" si="34"/>
        <v>0</v>
      </c>
      <c r="E48" s="219"/>
      <c r="F48" s="220"/>
      <c r="G48" s="220">
        <f t="shared" si="32"/>
        <v>0</v>
      </c>
      <c r="H48" s="220"/>
      <c r="I48" s="220">
        <f t="shared" si="2"/>
        <v>0</v>
      </c>
      <c r="J48" s="220"/>
      <c r="K48" s="220">
        <f t="shared" si="3"/>
        <v>0</v>
      </c>
      <c r="L48" s="220"/>
      <c r="M48" s="220">
        <f t="shared" si="4"/>
        <v>0</v>
      </c>
      <c r="N48" s="220"/>
      <c r="O48" s="220">
        <f t="shared" si="5"/>
        <v>0</v>
      </c>
      <c r="P48" s="220"/>
      <c r="Q48" s="220">
        <f t="shared" si="6"/>
        <v>0</v>
      </c>
      <c r="R48" s="220"/>
      <c r="S48" s="220">
        <f t="shared" si="7"/>
        <v>0</v>
      </c>
      <c r="T48" s="220"/>
      <c r="U48" s="220">
        <f t="shared" si="8"/>
        <v>0</v>
      </c>
      <c r="V48" s="220"/>
      <c r="W48" s="220">
        <f t="shared" si="9"/>
        <v>0</v>
      </c>
      <c r="X48" s="220"/>
      <c r="Y48" s="220">
        <f t="shared" si="10"/>
        <v>0</v>
      </c>
      <c r="Z48" s="220"/>
      <c r="AA48" s="220">
        <f t="shared" si="11"/>
        <v>0</v>
      </c>
      <c r="AB48" s="220"/>
      <c r="AC48" s="220">
        <f t="shared" si="12"/>
        <v>0</v>
      </c>
      <c r="AD48" s="220"/>
      <c r="AE48" s="220">
        <f t="shared" si="13"/>
        <v>0</v>
      </c>
      <c r="AF48" s="220"/>
      <c r="AG48" s="220">
        <f t="shared" si="14"/>
        <v>0</v>
      </c>
      <c r="AH48" s="220"/>
      <c r="AI48" s="220">
        <f t="shared" si="15"/>
        <v>0</v>
      </c>
      <c r="AJ48" s="220"/>
      <c r="AK48" s="220">
        <f t="shared" si="16"/>
        <v>0</v>
      </c>
      <c r="AL48" s="220"/>
      <c r="AM48" s="220">
        <f t="shared" si="17"/>
        <v>0</v>
      </c>
      <c r="AN48" s="220"/>
      <c r="AO48" s="220">
        <f t="shared" si="18"/>
        <v>0</v>
      </c>
      <c r="AP48" s="220"/>
      <c r="AQ48" s="220">
        <f t="shared" si="19"/>
        <v>0</v>
      </c>
      <c r="AR48" s="220"/>
      <c r="AS48" s="220">
        <f t="shared" si="20"/>
        <v>0</v>
      </c>
      <c r="AT48" s="220"/>
      <c r="AU48" s="220">
        <f t="shared" si="21"/>
        <v>0</v>
      </c>
      <c r="AV48" s="220"/>
      <c r="AW48" s="220">
        <f t="shared" si="22"/>
        <v>0</v>
      </c>
      <c r="AX48" s="220"/>
      <c r="AY48" s="220">
        <f t="shared" si="23"/>
        <v>0</v>
      </c>
      <c r="AZ48" s="220"/>
      <c r="BA48" s="220">
        <f t="shared" si="24"/>
        <v>0</v>
      </c>
      <c r="BB48" s="220"/>
      <c r="BC48" s="220">
        <f t="shared" si="25"/>
        <v>0</v>
      </c>
      <c r="BD48" s="220"/>
      <c r="BE48" s="220">
        <f t="shared" si="26"/>
        <v>0</v>
      </c>
      <c r="BF48" s="220"/>
      <c r="BG48" s="220">
        <f t="shared" si="27"/>
        <v>0</v>
      </c>
      <c r="BH48" s="220"/>
      <c r="BI48" s="220">
        <f t="shared" si="28"/>
        <v>0</v>
      </c>
      <c r="BJ48" s="220"/>
      <c r="BK48" s="220">
        <f t="shared" si="29"/>
        <v>0</v>
      </c>
      <c r="BL48" s="220"/>
      <c r="BM48" s="220">
        <f t="shared" si="30"/>
        <v>0</v>
      </c>
      <c r="BN48" s="220"/>
      <c r="BO48" s="220">
        <f t="shared" si="31"/>
        <v>0</v>
      </c>
    </row>
    <row r="49" spans="1:67">
      <c r="A49" s="232"/>
      <c r="B49" s="668"/>
      <c r="C49" s="219">
        <f>SUM(B49*7/100)</f>
        <v>0</v>
      </c>
      <c r="D49" s="219">
        <f t="shared" si="34"/>
        <v>0</v>
      </c>
      <c r="E49" s="219"/>
      <c r="F49" s="220"/>
      <c r="G49" s="220">
        <f t="shared" si="32"/>
        <v>0</v>
      </c>
      <c r="H49" s="220"/>
      <c r="I49" s="220">
        <f t="shared" si="2"/>
        <v>0</v>
      </c>
      <c r="J49" s="220"/>
      <c r="K49" s="220">
        <f t="shared" si="3"/>
        <v>0</v>
      </c>
      <c r="L49" s="220"/>
      <c r="M49" s="220">
        <f t="shared" si="4"/>
        <v>0</v>
      </c>
      <c r="N49" s="220"/>
      <c r="O49" s="220">
        <f t="shared" si="5"/>
        <v>0</v>
      </c>
      <c r="P49" s="220"/>
      <c r="Q49" s="220">
        <f t="shared" si="6"/>
        <v>0</v>
      </c>
      <c r="R49" s="220"/>
      <c r="S49" s="220">
        <f t="shared" si="7"/>
        <v>0</v>
      </c>
      <c r="T49" s="220"/>
      <c r="U49" s="220">
        <f t="shared" si="8"/>
        <v>0</v>
      </c>
      <c r="V49" s="220"/>
      <c r="W49" s="220">
        <f t="shared" si="9"/>
        <v>0</v>
      </c>
      <c r="X49" s="220"/>
      <c r="Y49" s="220">
        <f t="shared" si="10"/>
        <v>0</v>
      </c>
      <c r="Z49" s="220"/>
      <c r="AA49" s="220">
        <f t="shared" si="11"/>
        <v>0</v>
      </c>
      <c r="AB49" s="220"/>
      <c r="AC49" s="220">
        <f t="shared" si="12"/>
        <v>0</v>
      </c>
      <c r="AD49" s="220"/>
      <c r="AE49" s="220">
        <f t="shared" si="13"/>
        <v>0</v>
      </c>
      <c r="AF49" s="220"/>
      <c r="AG49" s="220">
        <f t="shared" si="14"/>
        <v>0</v>
      </c>
      <c r="AH49" s="220"/>
      <c r="AI49" s="220">
        <f t="shared" si="15"/>
        <v>0</v>
      </c>
      <c r="AJ49" s="220"/>
      <c r="AK49" s="220">
        <f t="shared" si="16"/>
        <v>0</v>
      </c>
      <c r="AL49" s="220"/>
      <c r="AM49" s="220">
        <f t="shared" si="17"/>
        <v>0</v>
      </c>
      <c r="AN49" s="220"/>
      <c r="AO49" s="220">
        <f t="shared" si="18"/>
        <v>0</v>
      </c>
      <c r="AP49" s="220"/>
      <c r="AQ49" s="220">
        <f t="shared" si="19"/>
        <v>0</v>
      </c>
      <c r="AR49" s="220"/>
      <c r="AS49" s="220">
        <f t="shared" si="20"/>
        <v>0</v>
      </c>
      <c r="AT49" s="220"/>
      <c r="AU49" s="220">
        <f t="shared" si="21"/>
        <v>0</v>
      </c>
      <c r="AV49" s="220"/>
      <c r="AW49" s="220">
        <f t="shared" si="22"/>
        <v>0</v>
      </c>
      <c r="AX49" s="220"/>
      <c r="AY49" s="220">
        <f t="shared" si="23"/>
        <v>0</v>
      </c>
      <c r="AZ49" s="220"/>
      <c r="BA49" s="220">
        <f t="shared" si="24"/>
        <v>0</v>
      </c>
      <c r="BB49" s="220"/>
      <c r="BC49" s="220">
        <f t="shared" si="25"/>
        <v>0</v>
      </c>
      <c r="BD49" s="220"/>
      <c r="BE49" s="220">
        <f t="shared" si="26"/>
        <v>0</v>
      </c>
      <c r="BF49" s="220"/>
      <c r="BG49" s="220">
        <f t="shared" si="27"/>
        <v>0</v>
      </c>
      <c r="BH49" s="220"/>
      <c r="BI49" s="220">
        <f t="shared" si="28"/>
        <v>0</v>
      </c>
      <c r="BJ49" s="220"/>
      <c r="BK49" s="220">
        <f t="shared" si="29"/>
        <v>0</v>
      </c>
      <c r="BL49" s="220"/>
      <c r="BM49" s="220">
        <f t="shared" si="30"/>
        <v>0</v>
      </c>
      <c r="BN49" s="220"/>
      <c r="BO49" s="220">
        <f t="shared" si="31"/>
        <v>0</v>
      </c>
    </row>
    <row r="50" spans="1:67">
      <c r="A50" s="232"/>
      <c r="B50" s="668"/>
      <c r="C50" s="219">
        <f>SUM(B50*7/100)</f>
        <v>0</v>
      </c>
      <c r="D50" s="219">
        <f t="shared" si="34"/>
        <v>0</v>
      </c>
      <c r="E50" s="219"/>
      <c r="F50" s="220"/>
      <c r="G50" s="220">
        <f t="shared" si="32"/>
        <v>0</v>
      </c>
      <c r="H50" s="220"/>
      <c r="I50" s="220">
        <f t="shared" si="2"/>
        <v>0</v>
      </c>
      <c r="J50" s="220"/>
      <c r="K50" s="220">
        <f t="shared" si="3"/>
        <v>0</v>
      </c>
      <c r="L50" s="220"/>
      <c r="M50" s="220">
        <f t="shared" si="4"/>
        <v>0</v>
      </c>
      <c r="N50" s="220"/>
      <c r="O50" s="220">
        <f t="shared" si="5"/>
        <v>0</v>
      </c>
      <c r="P50" s="220"/>
      <c r="Q50" s="220">
        <f t="shared" si="6"/>
        <v>0</v>
      </c>
      <c r="R50" s="220"/>
      <c r="S50" s="220">
        <f t="shared" si="7"/>
        <v>0</v>
      </c>
      <c r="T50" s="220"/>
      <c r="U50" s="220">
        <f t="shared" si="8"/>
        <v>0</v>
      </c>
      <c r="V50" s="220"/>
      <c r="W50" s="220">
        <f t="shared" si="9"/>
        <v>0</v>
      </c>
      <c r="X50" s="220"/>
      <c r="Y50" s="220">
        <f t="shared" si="10"/>
        <v>0</v>
      </c>
      <c r="Z50" s="220"/>
      <c r="AA50" s="220">
        <f t="shared" si="11"/>
        <v>0</v>
      </c>
      <c r="AB50" s="220"/>
      <c r="AC50" s="220">
        <f t="shared" si="12"/>
        <v>0</v>
      </c>
      <c r="AD50" s="220"/>
      <c r="AE50" s="220">
        <f t="shared" si="13"/>
        <v>0</v>
      </c>
      <c r="AF50" s="220"/>
      <c r="AG50" s="220">
        <f t="shared" si="14"/>
        <v>0</v>
      </c>
      <c r="AH50" s="220"/>
      <c r="AI50" s="220">
        <f t="shared" si="15"/>
        <v>0</v>
      </c>
      <c r="AJ50" s="220"/>
      <c r="AK50" s="220">
        <f t="shared" si="16"/>
        <v>0</v>
      </c>
      <c r="AL50" s="220"/>
      <c r="AM50" s="220">
        <f t="shared" si="17"/>
        <v>0</v>
      </c>
      <c r="AN50" s="220"/>
      <c r="AO50" s="220">
        <f t="shared" si="18"/>
        <v>0</v>
      </c>
      <c r="AP50" s="220"/>
      <c r="AQ50" s="220">
        <f t="shared" si="19"/>
        <v>0</v>
      </c>
      <c r="AR50" s="220"/>
      <c r="AS50" s="220">
        <f t="shared" si="20"/>
        <v>0</v>
      </c>
      <c r="AT50" s="220"/>
      <c r="AU50" s="220">
        <f t="shared" si="21"/>
        <v>0</v>
      </c>
      <c r="AV50" s="220"/>
      <c r="AW50" s="220">
        <f t="shared" si="22"/>
        <v>0</v>
      </c>
      <c r="AX50" s="220"/>
      <c r="AY50" s="220">
        <f t="shared" si="23"/>
        <v>0</v>
      </c>
      <c r="AZ50" s="220"/>
      <c r="BA50" s="220">
        <f t="shared" si="24"/>
        <v>0</v>
      </c>
      <c r="BB50" s="220"/>
      <c r="BC50" s="220">
        <f t="shared" si="25"/>
        <v>0</v>
      </c>
      <c r="BD50" s="220"/>
      <c r="BE50" s="220">
        <f t="shared" si="26"/>
        <v>0</v>
      </c>
      <c r="BF50" s="220"/>
      <c r="BG50" s="220">
        <f t="shared" si="27"/>
        <v>0</v>
      </c>
      <c r="BH50" s="220"/>
      <c r="BI50" s="220">
        <f t="shared" si="28"/>
        <v>0</v>
      </c>
      <c r="BJ50" s="220"/>
      <c r="BK50" s="220">
        <f t="shared" si="29"/>
        <v>0</v>
      </c>
      <c r="BL50" s="220"/>
      <c r="BM50" s="220">
        <f t="shared" si="30"/>
        <v>0</v>
      </c>
      <c r="BN50" s="220"/>
      <c r="BO50" s="220">
        <f t="shared" si="31"/>
        <v>0</v>
      </c>
    </row>
    <row r="51" spans="1:67">
      <c r="A51" s="232"/>
      <c r="B51" s="668"/>
      <c r="C51" s="219">
        <f t="shared" si="35"/>
        <v>0</v>
      </c>
      <c r="D51" s="219">
        <f t="shared" si="34"/>
        <v>0</v>
      </c>
      <c r="E51" s="219"/>
      <c r="F51" s="220"/>
      <c r="G51" s="220">
        <f t="shared" si="32"/>
        <v>0</v>
      </c>
      <c r="H51" s="220"/>
      <c r="I51" s="220">
        <f t="shared" si="2"/>
        <v>0</v>
      </c>
      <c r="J51" s="220"/>
      <c r="K51" s="220">
        <f t="shared" si="3"/>
        <v>0</v>
      </c>
      <c r="L51" s="220"/>
      <c r="M51" s="220">
        <f t="shared" si="4"/>
        <v>0</v>
      </c>
      <c r="N51" s="220"/>
      <c r="O51" s="220">
        <f t="shared" si="5"/>
        <v>0</v>
      </c>
      <c r="P51" s="220"/>
      <c r="Q51" s="220">
        <f t="shared" si="6"/>
        <v>0</v>
      </c>
      <c r="R51" s="220"/>
      <c r="S51" s="220">
        <f t="shared" si="7"/>
        <v>0</v>
      </c>
      <c r="T51" s="220"/>
      <c r="U51" s="220">
        <f t="shared" si="8"/>
        <v>0</v>
      </c>
      <c r="V51" s="220"/>
      <c r="W51" s="220">
        <f t="shared" si="9"/>
        <v>0</v>
      </c>
      <c r="X51" s="220"/>
      <c r="Y51" s="220">
        <f t="shared" si="10"/>
        <v>0</v>
      </c>
      <c r="Z51" s="220"/>
      <c r="AA51" s="220">
        <f t="shared" si="11"/>
        <v>0</v>
      </c>
      <c r="AB51" s="220"/>
      <c r="AC51" s="220">
        <f t="shared" si="12"/>
        <v>0</v>
      </c>
      <c r="AD51" s="220"/>
      <c r="AE51" s="220">
        <f t="shared" si="13"/>
        <v>0</v>
      </c>
      <c r="AF51" s="220"/>
      <c r="AG51" s="220">
        <f t="shared" si="14"/>
        <v>0</v>
      </c>
      <c r="AH51" s="220"/>
      <c r="AI51" s="220">
        <f t="shared" si="15"/>
        <v>0</v>
      </c>
      <c r="AJ51" s="220"/>
      <c r="AK51" s="220">
        <f t="shared" si="16"/>
        <v>0</v>
      </c>
      <c r="AL51" s="220"/>
      <c r="AM51" s="220">
        <f t="shared" si="17"/>
        <v>0</v>
      </c>
      <c r="AN51" s="220"/>
      <c r="AO51" s="220">
        <f t="shared" si="18"/>
        <v>0</v>
      </c>
      <c r="AP51" s="220"/>
      <c r="AQ51" s="220">
        <f t="shared" si="19"/>
        <v>0</v>
      </c>
      <c r="AR51" s="220"/>
      <c r="AS51" s="220">
        <f t="shared" si="20"/>
        <v>0</v>
      </c>
      <c r="AT51" s="220"/>
      <c r="AU51" s="220">
        <f t="shared" si="21"/>
        <v>0</v>
      </c>
      <c r="AV51" s="220"/>
      <c r="AW51" s="220">
        <f t="shared" si="22"/>
        <v>0</v>
      </c>
      <c r="AX51" s="220"/>
      <c r="AY51" s="220">
        <f t="shared" si="23"/>
        <v>0</v>
      </c>
      <c r="AZ51" s="220"/>
      <c r="BA51" s="220">
        <f t="shared" si="24"/>
        <v>0</v>
      </c>
      <c r="BB51" s="220"/>
      <c r="BC51" s="220">
        <f t="shared" si="25"/>
        <v>0</v>
      </c>
      <c r="BD51" s="220"/>
      <c r="BE51" s="220">
        <f t="shared" si="26"/>
        <v>0</v>
      </c>
      <c r="BF51" s="220"/>
      <c r="BG51" s="220">
        <f t="shared" si="27"/>
        <v>0</v>
      </c>
      <c r="BH51" s="220"/>
      <c r="BI51" s="220">
        <f t="shared" si="28"/>
        <v>0</v>
      </c>
      <c r="BJ51" s="220"/>
      <c r="BK51" s="220">
        <f t="shared" si="29"/>
        <v>0</v>
      </c>
      <c r="BL51" s="220"/>
      <c r="BM51" s="220">
        <f t="shared" si="30"/>
        <v>0</v>
      </c>
      <c r="BN51" s="220"/>
      <c r="BO51" s="220">
        <f t="shared" si="31"/>
        <v>0</v>
      </c>
    </row>
    <row r="52" spans="1:67">
      <c r="A52" s="232"/>
      <c r="B52" s="668"/>
      <c r="C52" s="219">
        <f t="shared" si="35"/>
        <v>0</v>
      </c>
      <c r="D52" s="219">
        <f t="shared" ref="D52:D58" si="37">B52+C52</f>
        <v>0</v>
      </c>
      <c r="E52" s="219"/>
      <c r="F52" s="220"/>
      <c r="G52" s="220">
        <f t="shared" ref="G52:G58" si="38">SUM(D52*F52)</f>
        <v>0</v>
      </c>
      <c r="H52" s="220"/>
      <c r="I52" s="220">
        <f t="shared" ref="I52:I58" si="39">SUM(D52*H52)</f>
        <v>0</v>
      </c>
      <c r="J52" s="220"/>
      <c r="K52" s="220">
        <f t="shared" ref="K52:K58" si="40">SUM(J52*D52)</f>
        <v>0</v>
      </c>
      <c r="L52" s="220"/>
      <c r="M52" s="220">
        <f t="shared" ref="M52:M58" si="41">SUM(D52*L52)</f>
        <v>0</v>
      </c>
      <c r="N52" s="220"/>
      <c r="O52" s="220">
        <f t="shared" ref="O52:O58" si="42">SUM(N52*D52)</f>
        <v>0</v>
      </c>
      <c r="P52" s="220"/>
      <c r="Q52" s="220">
        <f t="shared" ref="Q52:Q58" si="43">SUM(P52*D52)</f>
        <v>0</v>
      </c>
      <c r="R52" s="220"/>
      <c r="S52" s="220">
        <f t="shared" ref="S52:S58" si="44">SUM(R52*D52)</f>
        <v>0</v>
      </c>
      <c r="T52" s="220"/>
      <c r="U52" s="220">
        <f t="shared" ref="U52:U58" si="45">SUM(T52*D52)</f>
        <v>0</v>
      </c>
      <c r="V52" s="220"/>
      <c r="W52" s="220">
        <f t="shared" ref="W52:W58" si="46">SUM(V52*D52)</f>
        <v>0</v>
      </c>
      <c r="X52" s="220"/>
      <c r="Y52" s="220">
        <f t="shared" ref="Y52:Y58" si="47">SUM(W52*D52)</f>
        <v>0</v>
      </c>
      <c r="Z52" s="220"/>
      <c r="AA52" s="220">
        <f t="shared" ref="AA52:AA58" si="48">SUM(Z52*D52)</f>
        <v>0</v>
      </c>
      <c r="AB52" s="220"/>
      <c r="AC52" s="220">
        <f t="shared" ref="AC52:AC58" si="49">SUM(AB52*D52)</f>
        <v>0</v>
      </c>
      <c r="AD52" s="220"/>
      <c r="AE52" s="220">
        <f t="shared" ref="AE52:AE58" si="50">SUM(AD52*D52)</f>
        <v>0</v>
      </c>
      <c r="AF52" s="220"/>
      <c r="AG52" s="220">
        <f t="shared" ref="AG52:AG58" si="51">SUM(AF52*D52)</f>
        <v>0</v>
      </c>
      <c r="AH52" s="220"/>
      <c r="AI52" s="220">
        <f t="shared" ref="AI52:AI58" si="52">SUM(AH52*D52)</f>
        <v>0</v>
      </c>
      <c r="AJ52" s="220"/>
      <c r="AK52" s="220">
        <f t="shared" ref="AK52:AK58" si="53">SUM(AJ52*D52)</f>
        <v>0</v>
      </c>
      <c r="AL52" s="220"/>
      <c r="AM52" s="220">
        <f t="shared" ref="AM52:AM58" si="54">SUM(AL52*D52)</f>
        <v>0</v>
      </c>
      <c r="AN52" s="220"/>
      <c r="AO52" s="220">
        <f t="shared" ref="AO52:AO58" si="55">SUM(AN52*D52)</f>
        <v>0</v>
      </c>
      <c r="AP52" s="220"/>
      <c r="AQ52" s="220">
        <f t="shared" ref="AQ52:AQ58" si="56">SUM(AP52*D52)</f>
        <v>0</v>
      </c>
      <c r="AR52" s="220"/>
      <c r="AS52" s="220">
        <f t="shared" ref="AS52:AS58" si="57">SUM(AR52*D52)</f>
        <v>0</v>
      </c>
      <c r="AT52" s="220"/>
      <c r="AU52" s="220">
        <f t="shared" ref="AU52:AU58" si="58">SUM(AT52*D52)</f>
        <v>0</v>
      </c>
      <c r="AV52" s="220"/>
      <c r="AW52" s="220">
        <f t="shared" ref="AW52:AW58" si="59">SUM(AV52*D52)</f>
        <v>0</v>
      </c>
      <c r="AX52" s="220"/>
      <c r="AY52" s="220">
        <f t="shared" ref="AY52:AY58" si="60">SUM(AX52*D52)</f>
        <v>0</v>
      </c>
      <c r="AZ52" s="220"/>
      <c r="BA52" s="220">
        <f t="shared" ref="BA52:BA58" si="61">SUM(AZ52*D52)</f>
        <v>0</v>
      </c>
      <c r="BB52" s="220"/>
      <c r="BC52" s="220">
        <f t="shared" ref="BC52:BC58" si="62">SUM(BB52*D52)</f>
        <v>0</v>
      </c>
      <c r="BD52" s="220"/>
      <c r="BE52" s="220">
        <f t="shared" ref="BE52:BE58" si="63">SUM(BD52*D52)</f>
        <v>0</v>
      </c>
      <c r="BF52" s="220"/>
      <c r="BG52" s="220">
        <f t="shared" ref="BG52:BG58" si="64">SUM(BF52*D52)</f>
        <v>0</v>
      </c>
      <c r="BH52" s="220"/>
      <c r="BI52" s="220">
        <f t="shared" ref="BI52:BI58" si="65">SUM(BH52*D52)</f>
        <v>0</v>
      </c>
      <c r="BJ52" s="220"/>
      <c r="BK52" s="220">
        <f t="shared" ref="BK52:BK58" si="66">SUM(BJ52*D52)</f>
        <v>0</v>
      </c>
      <c r="BL52" s="220"/>
      <c r="BM52" s="220">
        <f t="shared" ref="BM52:BM58" si="67">SUM(BL52*D52)</f>
        <v>0</v>
      </c>
      <c r="BN52" s="220"/>
      <c r="BO52" s="220">
        <f t="shared" ref="BO52:BO58" si="68">SUM(BN52*D52)</f>
        <v>0</v>
      </c>
    </row>
    <row r="53" spans="1:67">
      <c r="A53" s="232"/>
      <c r="B53" s="668"/>
      <c r="C53" s="219">
        <f t="shared" si="35"/>
        <v>0</v>
      </c>
      <c r="D53" s="219">
        <f t="shared" si="37"/>
        <v>0</v>
      </c>
      <c r="E53" s="219"/>
      <c r="F53" s="220"/>
      <c r="G53" s="220">
        <f t="shared" si="38"/>
        <v>0</v>
      </c>
      <c r="H53" s="220"/>
      <c r="I53" s="220">
        <f t="shared" si="39"/>
        <v>0</v>
      </c>
      <c r="J53" s="220"/>
      <c r="K53" s="220">
        <f t="shared" si="40"/>
        <v>0</v>
      </c>
      <c r="L53" s="220"/>
      <c r="M53" s="220">
        <f t="shared" si="41"/>
        <v>0</v>
      </c>
      <c r="N53" s="220"/>
      <c r="O53" s="220">
        <f t="shared" si="42"/>
        <v>0</v>
      </c>
      <c r="P53" s="220"/>
      <c r="Q53" s="220">
        <f t="shared" si="43"/>
        <v>0</v>
      </c>
      <c r="R53" s="220"/>
      <c r="S53" s="220">
        <f t="shared" si="44"/>
        <v>0</v>
      </c>
      <c r="T53" s="220"/>
      <c r="U53" s="220">
        <f t="shared" si="45"/>
        <v>0</v>
      </c>
      <c r="V53" s="220"/>
      <c r="W53" s="220">
        <f t="shared" si="46"/>
        <v>0</v>
      </c>
      <c r="X53" s="220"/>
      <c r="Y53" s="220">
        <f t="shared" si="47"/>
        <v>0</v>
      </c>
      <c r="Z53" s="220"/>
      <c r="AA53" s="220">
        <f t="shared" si="48"/>
        <v>0</v>
      </c>
      <c r="AB53" s="220"/>
      <c r="AC53" s="220">
        <f t="shared" si="49"/>
        <v>0</v>
      </c>
      <c r="AD53" s="220"/>
      <c r="AE53" s="220">
        <f t="shared" si="50"/>
        <v>0</v>
      </c>
      <c r="AF53" s="220"/>
      <c r="AG53" s="220">
        <f t="shared" si="51"/>
        <v>0</v>
      </c>
      <c r="AH53" s="220"/>
      <c r="AI53" s="220">
        <f t="shared" si="52"/>
        <v>0</v>
      </c>
      <c r="AJ53" s="220"/>
      <c r="AK53" s="220">
        <f t="shared" si="53"/>
        <v>0</v>
      </c>
      <c r="AL53" s="220"/>
      <c r="AM53" s="220">
        <f t="shared" si="54"/>
        <v>0</v>
      </c>
      <c r="AN53" s="220"/>
      <c r="AO53" s="220">
        <f t="shared" si="55"/>
        <v>0</v>
      </c>
      <c r="AP53" s="220"/>
      <c r="AQ53" s="220">
        <f t="shared" si="56"/>
        <v>0</v>
      </c>
      <c r="AR53" s="220"/>
      <c r="AS53" s="220">
        <f t="shared" si="57"/>
        <v>0</v>
      </c>
      <c r="AT53" s="220"/>
      <c r="AU53" s="220">
        <f t="shared" si="58"/>
        <v>0</v>
      </c>
      <c r="AV53" s="220"/>
      <c r="AW53" s="220">
        <f t="shared" si="59"/>
        <v>0</v>
      </c>
      <c r="AX53" s="220"/>
      <c r="AY53" s="220">
        <f t="shared" si="60"/>
        <v>0</v>
      </c>
      <c r="AZ53" s="220"/>
      <c r="BA53" s="220">
        <f t="shared" si="61"/>
        <v>0</v>
      </c>
      <c r="BB53" s="220"/>
      <c r="BC53" s="220">
        <f t="shared" si="62"/>
        <v>0</v>
      </c>
      <c r="BD53" s="220"/>
      <c r="BE53" s="220">
        <f t="shared" si="63"/>
        <v>0</v>
      </c>
      <c r="BF53" s="220"/>
      <c r="BG53" s="220">
        <f t="shared" si="64"/>
        <v>0</v>
      </c>
      <c r="BH53" s="220"/>
      <c r="BI53" s="220">
        <f t="shared" si="65"/>
        <v>0</v>
      </c>
      <c r="BJ53" s="220"/>
      <c r="BK53" s="220">
        <f t="shared" si="66"/>
        <v>0</v>
      </c>
      <c r="BL53" s="220"/>
      <c r="BM53" s="220">
        <f t="shared" si="67"/>
        <v>0</v>
      </c>
      <c r="BN53" s="220"/>
      <c r="BO53" s="220">
        <f t="shared" si="68"/>
        <v>0</v>
      </c>
    </row>
    <row r="54" spans="1:67">
      <c r="A54" s="232"/>
      <c r="B54" s="668"/>
      <c r="C54" s="219">
        <f t="shared" si="35"/>
        <v>0</v>
      </c>
      <c r="D54" s="219">
        <f t="shared" si="37"/>
        <v>0</v>
      </c>
      <c r="E54" s="219"/>
      <c r="F54" s="220"/>
      <c r="G54" s="220">
        <f t="shared" si="38"/>
        <v>0</v>
      </c>
      <c r="H54" s="220"/>
      <c r="I54" s="220">
        <f t="shared" si="39"/>
        <v>0</v>
      </c>
      <c r="J54" s="220"/>
      <c r="K54" s="220">
        <f t="shared" si="40"/>
        <v>0</v>
      </c>
      <c r="L54" s="220"/>
      <c r="M54" s="220">
        <f t="shared" si="41"/>
        <v>0</v>
      </c>
      <c r="N54" s="220"/>
      <c r="O54" s="220">
        <f t="shared" si="42"/>
        <v>0</v>
      </c>
      <c r="P54" s="220"/>
      <c r="Q54" s="220">
        <f t="shared" si="43"/>
        <v>0</v>
      </c>
      <c r="R54" s="220"/>
      <c r="S54" s="220">
        <f t="shared" si="44"/>
        <v>0</v>
      </c>
      <c r="T54" s="220"/>
      <c r="U54" s="220">
        <f t="shared" si="45"/>
        <v>0</v>
      </c>
      <c r="V54" s="220"/>
      <c r="W54" s="220">
        <f t="shared" si="46"/>
        <v>0</v>
      </c>
      <c r="X54" s="220"/>
      <c r="Y54" s="220">
        <f t="shared" si="47"/>
        <v>0</v>
      </c>
      <c r="Z54" s="220"/>
      <c r="AA54" s="220">
        <f t="shared" si="48"/>
        <v>0</v>
      </c>
      <c r="AB54" s="220"/>
      <c r="AC54" s="220">
        <f t="shared" si="49"/>
        <v>0</v>
      </c>
      <c r="AD54" s="220"/>
      <c r="AE54" s="220">
        <f t="shared" si="50"/>
        <v>0</v>
      </c>
      <c r="AF54" s="220"/>
      <c r="AG54" s="220">
        <f t="shared" si="51"/>
        <v>0</v>
      </c>
      <c r="AH54" s="220"/>
      <c r="AI54" s="220">
        <f t="shared" si="52"/>
        <v>0</v>
      </c>
      <c r="AJ54" s="220"/>
      <c r="AK54" s="220">
        <f t="shared" si="53"/>
        <v>0</v>
      </c>
      <c r="AL54" s="220"/>
      <c r="AM54" s="220">
        <f t="shared" si="54"/>
        <v>0</v>
      </c>
      <c r="AN54" s="220"/>
      <c r="AO54" s="220">
        <f t="shared" si="55"/>
        <v>0</v>
      </c>
      <c r="AP54" s="220"/>
      <c r="AQ54" s="220">
        <f t="shared" si="56"/>
        <v>0</v>
      </c>
      <c r="AR54" s="220"/>
      <c r="AS54" s="220">
        <f t="shared" si="57"/>
        <v>0</v>
      </c>
      <c r="AT54" s="220"/>
      <c r="AU54" s="220">
        <f t="shared" si="58"/>
        <v>0</v>
      </c>
      <c r="AV54" s="220"/>
      <c r="AW54" s="220">
        <f t="shared" si="59"/>
        <v>0</v>
      </c>
      <c r="AX54" s="220"/>
      <c r="AY54" s="220">
        <f t="shared" si="60"/>
        <v>0</v>
      </c>
      <c r="AZ54" s="220"/>
      <c r="BA54" s="220">
        <f t="shared" si="61"/>
        <v>0</v>
      </c>
      <c r="BB54" s="220"/>
      <c r="BC54" s="220">
        <f t="shared" si="62"/>
        <v>0</v>
      </c>
      <c r="BD54" s="220"/>
      <c r="BE54" s="220">
        <f t="shared" si="63"/>
        <v>0</v>
      </c>
      <c r="BF54" s="220"/>
      <c r="BG54" s="220">
        <f t="shared" si="64"/>
        <v>0</v>
      </c>
      <c r="BH54" s="220"/>
      <c r="BI54" s="220">
        <f t="shared" si="65"/>
        <v>0</v>
      </c>
      <c r="BJ54" s="220"/>
      <c r="BK54" s="220">
        <f t="shared" si="66"/>
        <v>0</v>
      </c>
      <c r="BL54" s="220"/>
      <c r="BM54" s="220">
        <f t="shared" si="67"/>
        <v>0</v>
      </c>
      <c r="BN54" s="220"/>
      <c r="BO54" s="220">
        <f t="shared" si="68"/>
        <v>0</v>
      </c>
    </row>
    <row r="55" spans="1:67">
      <c r="A55" s="232"/>
      <c r="B55" s="668"/>
      <c r="C55" s="219">
        <f t="shared" si="35"/>
        <v>0</v>
      </c>
      <c r="D55" s="219">
        <f t="shared" si="37"/>
        <v>0</v>
      </c>
      <c r="E55" s="219"/>
      <c r="F55" s="220"/>
      <c r="G55" s="220">
        <f t="shared" si="38"/>
        <v>0</v>
      </c>
      <c r="H55" s="220"/>
      <c r="I55" s="220">
        <f t="shared" si="39"/>
        <v>0</v>
      </c>
      <c r="J55" s="220"/>
      <c r="K55" s="220">
        <f t="shared" si="40"/>
        <v>0</v>
      </c>
      <c r="L55" s="220"/>
      <c r="M55" s="220">
        <f t="shared" si="41"/>
        <v>0</v>
      </c>
      <c r="N55" s="220"/>
      <c r="O55" s="220">
        <f t="shared" si="42"/>
        <v>0</v>
      </c>
      <c r="P55" s="220"/>
      <c r="Q55" s="220">
        <f t="shared" si="43"/>
        <v>0</v>
      </c>
      <c r="R55" s="220"/>
      <c r="S55" s="220">
        <f t="shared" si="44"/>
        <v>0</v>
      </c>
      <c r="T55" s="220"/>
      <c r="U55" s="220">
        <f t="shared" si="45"/>
        <v>0</v>
      </c>
      <c r="V55" s="220"/>
      <c r="W55" s="220">
        <f t="shared" si="46"/>
        <v>0</v>
      </c>
      <c r="X55" s="220"/>
      <c r="Y55" s="220">
        <f t="shared" si="47"/>
        <v>0</v>
      </c>
      <c r="Z55" s="220"/>
      <c r="AA55" s="220">
        <f t="shared" si="48"/>
        <v>0</v>
      </c>
      <c r="AB55" s="220"/>
      <c r="AC55" s="220">
        <f t="shared" si="49"/>
        <v>0</v>
      </c>
      <c r="AD55" s="220"/>
      <c r="AE55" s="220">
        <f t="shared" si="50"/>
        <v>0</v>
      </c>
      <c r="AF55" s="220"/>
      <c r="AG55" s="220">
        <f t="shared" si="51"/>
        <v>0</v>
      </c>
      <c r="AH55" s="220"/>
      <c r="AI55" s="220">
        <f t="shared" si="52"/>
        <v>0</v>
      </c>
      <c r="AJ55" s="220"/>
      <c r="AK55" s="220">
        <f t="shared" si="53"/>
        <v>0</v>
      </c>
      <c r="AL55" s="220"/>
      <c r="AM55" s="220">
        <f t="shared" si="54"/>
        <v>0</v>
      </c>
      <c r="AN55" s="220"/>
      <c r="AO55" s="220">
        <f t="shared" si="55"/>
        <v>0</v>
      </c>
      <c r="AP55" s="220"/>
      <c r="AQ55" s="220">
        <f t="shared" si="56"/>
        <v>0</v>
      </c>
      <c r="AR55" s="220"/>
      <c r="AS55" s="220">
        <f t="shared" si="57"/>
        <v>0</v>
      </c>
      <c r="AT55" s="220"/>
      <c r="AU55" s="220">
        <f t="shared" si="58"/>
        <v>0</v>
      </c>
      <c r="AV55" s="220"/>
      <c r="AW55" s="220">
        <f t="shared" si="59"/>
        <v>0</v>
      </c>
      <c r="AX55" s="220"/>
      <c r="AY55" s="220">
        <f t="shared" si="60"/>
        <v>0</v>
      </c>
      <c r="AZ55" s="220"/>
      <c r="BA55" s="220">
        <f t="shared" si="61"/>
        <v>0</v>
      </c>
      <c r="BB55" s="220"/>
      <c r="BC55" s="220">
        <f t="shared" si="62"/>
        <v>0</v>
      </c>
      <c r="BD55" s="220"/>
      <c r="BE55" s="220">
        <f t="shared" si="63"/>
        <v>0</v>
      </c>
      <c r="BF55" s="220"/>
      <c r="BG55" s="220">
        <f t="shared" si="64"/>
        <v>0</v>
      </c>
      <c r="BH55" s="220"/>
      <c r="BI55" s="220">
        <f t="shared" si="65"/>
        <v>0</v>
      </c>
      <c r="BJ55" s="220"/>
      <c r="BK55" s="220">
        <f t="shared" si="66"/>
        <v>0</v>
      </c>
      <c r="BL55" s="220"/>
      <c r="BM55" s="220">
        <f t="shared" si="67"/>
        <v>0</v>
      </c>
      <c r="BN55" s="220"/>
      <c r="BO55" s="220">
        <f t="shared" si="68"/>
        <v>0</v>
      </c>
    </row>
    <row r="56" spans="1:67">
      <c r="A56" s="232"/>
      <c r="B56" s="668"/>
      <c r="C56" s="219">
        <f t="shared" si="35"/>
        <v>0</v>
      </c>
      <c r="D56" s="219">
        <f t="shared" si="37"/>
        <v>0</v>
      </c>
      <c r="E56" s="219"/>
      <c r="F56" s="220"/>
      <c r="G56" s="220">
        <f t="shared" si="38"/>
        <v>0</v>
      </c>
      <c r="H56" s="220"/>
      <c r="I56" s="220">
        <f t="shared" si="39"/>
        <v>0</v>
      </c>
      <c r="J56" s="220"/>
      <c r="K56" s="220">
        <f t="shared" si="40"/>
        <v>0</v>
      </c>
      <c r="L56" s="220"/>
      <c r="M56" s="220">
        <f t="shared" si="41"/>
        <v>0</v>
      </c>
      <c r="N56" s="220"/>
      <c r="O56" s="220">
        <f t="shared" si="42"/>
        <v>0</v>
      </c>
      <c r="P56" s="220"/>
      <c r="Q56" s="220">
        <f t="shared" si="43"/>
        <v>0</v>
      </c>
      <c r="R56" s="220"/>
      <c r="S56" s="220">
        <f t="shared" si="44"/>
        <v>0</v>
      </c>
      <c r="T56" s="220"/>
      <c r="U56" s="220">
        <f t="shared" si="45"/>
        <v>0</v>
      </c>
      <c r="V56" s="220"/>
      <c r="W56" s="220">
        <f t="shared" si="46"/>
        <v>0</v>
      </c>
      <c r="X56" s="220"/>
      <c r="Y56" s="220">
        <f t="shared" si="47"/>
        <v>0</v>
      </c>
      <c r="Z56" s="220"/>
      <c r="AA56" s="220">
        <f t="shared" si="48"/>
        <v>0</v>
      </c>
      <c r="AB56" s="220"/>
      <c r="AC56" s="220">
        <f t="shared" si="49"/>
        <v>0</v>
      </c>
      <c r="AD56" s="220"/>
      <c r="AE56" s="220">
        <f t="shared" si="50"/>
        <v>0</v>
      </c>
      <c r="AF56" s="220"/>
      <c r="AG56" s="220">
        <f t="shared" si="51"/>
        <v>0</v>
      </c>
      <c r="AH56" s="220"/>
      <c r="AI56" s="220">
        <f t="shared" si="52"/>
        <v>0</v>
      </c>
      <c r="AJ56" s="220"/>
      <c r="AK56" s="220">
        <f t="shared" si="53"/>
        <v>0</v>
      </c>
      <c r="AL56" s="220"/>
      <c r="AM56" s="220">
        <f t="shared" si="54"/>
        <v>0</v>
      </c>
      <c r="AN56" s="220"/>
      <c r="AO56" s="220">
        <f t="shared" si="55"/>
        <v>0</v>
      </c>
      <c r="AP56" s="220"/>
      <c r="AQ56" s="220">
        <f t="shared" si="56"/>
        <v>0</v>
      </c>
      <c r="AR56" s="220"/>
      <c r="AS56" s="220">
        <f t="shared" si="57"/>
        <v>0</v>
      </c>
      <c r="AT56" s="220"/>
      <c r="AU56" s="220">
        <f t="shared" si="58"/>
        <v>0</v>
      </c>
      <c r="AV56" s="220"/>
      <c r="AW56" s="220">
        <f t="shared" si="59"/>
        <v>0</v>
      </c>
      <c r="AX56" s="220"/>
      <c r="AY56" s="220">
        <f t="shared" si="60"/>
        <v>0</v>
      </c>
      <c r="AZ56" s="220"/>
      <c r="BA56" s="220">
        <f t="shared" si="61"/>
        <v>0</v>
      </c>
      <c r="BB56" s="220"/>
      <c r="BC56" s="220">
        <f t="shared" si="62"/>
        <v>0</v>
      </c>
      <c r="BD56" s="220"/>
      <c r="BE56" s="220">
        <f t="shared" si="63"/>
        <v>0</v>
      </c>
      <c r="BF56" s="220"/>
      <c r="BG56" s="220">
        <f t="shared" si="64"/>
        <v>0</v>
      </c>
      <c r="BH56" s="220"/>
      <c r="BI56" s="220">
        <f t="shared" si="65"/>
        <v>0</v>
      </c>
      <c r="BJ56" s="220"/>
      <c r="BK56" s="220">
        <f t="shared" si="66"/>
        <v>0</v>
      </c>
      <c r="BL56" s="220"/>
      <c r="BM56" s="220">
        <f t="shared" si="67"/>
        <v>0</v>
      </c>
      <c r="BN56" s="220"/>
      <c r="BO56" s="220">
        <f t="shared" si="68"/>
        <v>0</v>
      </c>
    </row>
    <row r="57" spans="1:67">
      <c r="A57" s="232"/>
      <c r="B57" s="668"/>
      <c r="C57" s="219">
        <f t="shared" si="35"/>
        <v>0</v>
      </c>
      <c r="D57" s="219">
        <f t="shared" si="37"/>
        <v>0</v>
      </c>
      <c r="E57" s="219"/>
      <c r="F57" s="220"/>
      <c r="G57" s="220">
        <f t="shared" si="38"/>
        <v>0</v>
      </c>
      <c r="H57" s="220"/>
      <c r="I57" s="220">
        <f t="shared" si="39"/>
        <v>0</v>
      </c>
      <c r="J57" s="220"/>
      <c r="K57" s="220">
        <f t="shared" si="40"/>
        <v>0</v>
      </c>
      <c r="L57" s="220"/>
      <c r="M57" s="220">
        <f t="shared" si="41"/>
        <v>0</v>
      </c>
      <c r="N57" s="220"/>
      <c r="O57" s="220">
        <f t="shared" si="42"/>
        <v>0</v>
      </c>
      <c r="P57" s="220"/>
      <c r="Q57" s="220">
        <f t="shared" si="43"/>
        <v>0</v>
      </c>
      <c r="R57" s="220"/>
      <c r="S57" s="220">
        <f t="shared" si="44"/>
        <v>0</v>
      </c>
      <c r="T57" s="220"/>
      <c r="U57" s="220">
        <f t="shared" si="45"/>
        <v>0</v>
      </c>
      <c r="V57" s="220"/>
      <c r="W57" s="220">
        <f t="shared" si="46"/>
        <v>0</v>
      </c>
      <c r="X57" s="220"/>
      <c r="Y57" s="220">
        <f t="shared" si="47"/>
        <v>0</v>
      </c>
      <c r="Z57" s="220"/>
      <c r="AA57" s="220">
        <f t="shared" si="48"/>
        <v>0</v>
      </c>
      <c r="AB57" s="220"/>
      <c r="AC57" s="220">
        <f t="shared" si="49"/>
        <v>0</v>
      </c>
      <c r="AD57" s="220"/>
      <c r="AE57" s="220">
        <f t="shared" si="50"/>
        <v>0</v>
      </c>
      <c r="AF57" s="220"/>
      <c r="AG57" s="220">
        <f t="shared" si="51"/>
        <v>0</v>
      </c>
      <c r="AH57" s="220"/>
      <c r="AI57" s="220">
        <f t="shared" si="52"/>
        <v>0</v>
      </c>
      <c r="AJ57" s="220"/>
      <c r="AK57" s="220">
        <f t="shared" si="53"/>
        <v>0</v>
      </c>
      <c r="AL57" s="220"/>
      <c r="AM57" s="220">
        <f t="shared" si="54"/>
        <v>0</v>
      </c>
      <c r="AN57" s="220"/>
      <c r="AO57" s="220">
        <f t="shared" si="55"/>
        <v>0</v>
      </c>
      <c r="AP57" s="220"/>
      <c r="AQ57" s="220">
        <f t="shared" si="56"/>
        <v>0</v>
      </c>
      <c r="AR57" s="220"/>
      <c r="AS57" s="220">
        <f t="shared" si="57"/>
        <v>0</v>
      </c>
      <c r="AT57" s="220"/>
      <c r="AU57" s="220">
        <f t="shared" si="58"/>
        <v>0</v>
      </c>
      <c r="AV57" s="220"/>
      <c r="AW57" s="220">
        <f t="shared" si="59"/>
        <v>0</v>
      </c>
      <c r="AX57" s="220"/>
      <c r="AY57" s="220">
        <f t="shared" si="60"/>
        <v>0</v>
      </c>
      <c r="AZ57" s="220"/>
      <c r="BA57" s="220">
        <f t="shared" si="61"/>
        <v>0</v>
      </c>
      <c r="BB57" s="220"/>
      <c r="BC57" s="220">
        <f t="shared" si="62"/>
        <v>0</v>
      </c>
      <c r="BD57" s="220"/>
      <c r="BE57" s="220">
        <f t="shared" si="63"/>
        <v>0</v>
      </c>
      <c r="BF57" s="220"/>
      <c r="BG57" s="220">
        <f t="shared" si="64"/>
        <v>0</v>
      </c>
      <c r="BH57" s="220"/>
      <c r="BI57" s="220">
        <f t="shared" si="65"/>
        <v>0</v>
      </c>
      <c r="BJ57" s="220"/>
      <c r="BK57" s="220">
        <f t="shared" si="66"/>
        <v>0</v>
      </c>
      <c r="BL57" s="220"/>
      <c r="BM57" s="220">
        <f t="shared" si="67"/>
        <v>0</v>
      </c>
      <c r="BN57" s="220"/>
      <c r="BO57" s="220">
        <f t="shared" si="68"/>
        <v>0</v>
      </c>
    </row>
    <row r="58" spans="1:67">
      <c r="A58" s="232"/>
      <c r="B58" s="668"/>
      <c r="C58" s="219">
        <f t="shared" si="35"/>
        <v>0</v>
      </c>
      <c r="D58" s="219">
        <f t="shared" si="37"/>
        <v>0</v>
      </c>
      <c r="E58" s="219"/>
      <c r="F58" s="220"/>
      <c r="G58" s="220">
        <f t="shared" si="38"/>
        <v>0</v>
      </c>
      <c r="H58" s="220"/>
      <c r="I58" s="220">
        <f t="shared" si="39"/>
        <v>0</v>
      </c>
      <c r="J58" s="220"/>
      <c r="K58" s="220">
        <f t="shared" si="40"/>
        <v>0</v>
      </c>
      <c r="L58" s="220"/>
      <c r="M58" s="220">
        <f t="shared" si="41"/>
        <v>0</v>
      </c>
      <c r="N58" s="220"/>
      <c r="O58" s="220">
        <f t="shared" si="42"/>
        <v>0</v>
      </c>
      <c r="P58" s="220"/>
      <c r="Q58" s="220">
        <f t="shared" si="43"/>
        <v>0</v>
      </c>
      <c r="R58" s="220"/>
      <c r="S58" s="220">
        <f t="shared" si="44"/>
        <v>0</v>
      </c>
      <c r="T58" s="220"/>
      <c r="U58" s="220">
        <f t="shared" si="45"/>
        <v>0</v>
      </c>
      <c r="V58" s="220"/>
      <c r="W58" s="220">
        <f t="shared" si="46"/>
        <v>0</v>
      </c>
      <c r="X58" s="220"/>
      <c r="Y58" s="220">
        <f t="shared" si="47"/>
        <v>0</v>
      </c>
      <c r="Z58" s="220"/>
      <c r="AA58" s="220">
        <f t="shared" si="48"/>
        <v>0</v>
      </c>
      <c r="AB58" s="220"/>
      <c r="AC58" s="220">
        <f t="shared" si="49"/>
        <v>0</v>
      </c>
      <c r="AD58" s="220"/>
      <c r="AE58" s="220">
        <f t="shared" si="50"/>
        <v>0</v>
      </c>
      <c r="AF58" s="220"/>
      <c r="AG58" s="220">
        <f t="shared" si="51"/>
        <v>0</v>
      </c>
      <c r="AH58" s="220"/>
      <c r="AI58" s="220">
        <f t="shared" si="52"/>
        <v>0</v>
      </c>
      <c r="AJ58" s="220"/>
      <c r="AK58" s="220">
        <f t="shared" si="53"/>
        <v>0</v>
      </c>
      <c r="AL58" s="220"/>
      <c r="AM58" s="220">
        <f t="shared" si="54"/>
        <v>0</v>
      </c>
      <c r="AN58" s="220"/>
      <c r="AO58" s="220">
        <f t="shared" si="55"/>
        <v>0</v>
      </c>
      <c r="AP58" s="220"/>
      <c r="AQ58" s="220">
        <f t="shared" si="56"/>
        <v>0</v>
      </c>
      <c r="AR58" s="220"/>
      <c r="AS58" s="220">
        <f t="shared" si="57"/>
        <v>0</v>
      </c>
      <c r="AT58" s="220"/>
      <c r="AU58" s="220">
        <f t="shared" si="58"/>
        <v>0</v>
      </c>
      <c r="AV58" s="220"/>
      <c r="AW58" s="220">
        <f t="shared" si="59"/>
        <v>0</v>
      </c>
      <c r="AX58" s="220"/>
      <c r="AY58" s="220">
        <f t="shared" si="60"/>
        <v>0</v>
      </c>
      <c r="AZ58" s="220"/>
      <c r="BA58" s="220">
        <f t="shared" si="61"/>
        <v>0</v>
      </c>
      <c r="BB58" s="220"/>
      <c r="BC58" s="220">
        <f t="shared" si="62"/>
        <v>0</v>
      </c>
      <c r="BD58" s="220"/>
      <c r="BE58" s="220">
        <f t="shared" si="63"/>
        <v>0</v>
      </c>
      <c r="BF58" s="220"/>
      <c r="BG58" s="220">
        <f t="shared" si="64"/>
        <v>0</v>
      </c>
      <c r="BH58" s="220"/>
      <c r="BI58" s="220">
        <f t="shared" si="65"/>
        <v>0</v>
      </c>
      <c r="BJ58" s="220"/>
      <c r="BK58" s="220">
        <f t="shared" si="66"/>
        <v>0</v>
      </c>
      <c r="BL58" s="220"/>
      <c r="BM58" s="220">
        <f t="shared" si="67"/>
        <v>0</v>
      </c>
      <c r="BN58" s="220"/>
      <c r="BO58" s="220">
        <f t="shared" si="68"/>
        <v>0</v>
      </c>
    </row>
    <row r="59" spans="1:67">
      <c r="A59" s="232"/>
      <c r="B59" s="668"/>
      <c r="C59" s="219">
        <f>SUM(B59*7/100)</f>
        <v>0</v>
      </c>
      <c r="D59" s="219">
        <f t="shared" ref="D59:D66" si="69">B59+C59</f>
        <v>0</v>
      </c>
      <c r="E59" s="219"/>
      <c r="F59" s="220"/>
      <c r="G59" s="220">
        <f t="shared" si="32"/>
        <v>0</v>
      </c>
      <c r="H59" s="220"/>
      <c r="I59" s="220">
        <f t="shared" si="2"/>
        <v>0</v>
      </c>
      <c r="J59" s="220"/>
      <c r="K59" s="220">
        <f t="shared" si="3"/>
        <v>0</v>
      </c>
      <c r="L59" s="220"/>
      <c r="M59" s="220">
        <f t="shared" si="4"/>
        <v>0</v>
      </c>
      <c r="N59" s="220"/>
      <c r="O59" s="220">
        <f t="shared" si="5"/>
        <v>0</v>
      </c>
      <c r="P59" s="220"/>
      <c r="Q59" s="220">
        <f t="shared" si="6"/>
        <v>0</v>
      </c>
      <c r="R59" s="220"/>
      <c r="S59" s="220">
        <f t="shared" si="7"/>
        <v>0</v>
      </c>
      <c r="T59" s="220"/>
      <c r="U59" s="220">
        <f t="shared" si="8"/>
        <v>0</v>
      </c>
      <c r="V59" s="220"/>
      <c r="W59" s="220">
        <f t="shared" si="9"/>
        <v>0</v>
      </c>
      <c r="X59" s="220"/>
      <c r="Y59" s="220">
        <f t="shared" si="10"/>
        <v>0</v>
      </c>
      <c r="Z59" s="220"/>
      <c r="AA59" s="220">
        <f t="shared" si="11"/>
        <v>0</v>
      </c>
      <c r="AB59" s="220"/>
      <c r="AC59" s="220">
        <f t="shared" si="12"/>
        <v>0</v>
      </c>
      <c r="AD59" s="220"/>
      <c r="AE59" s="220">
        <f t="shared" si="13"/>
        <v>0</v>
      </c>
      <c r="AF59" s="220"/>
      <c r="AG59" s="220">
        <f t="shared" si="14"/>
        <v>0</v>
      </c>
      <c r="AH59" s="220"/>
      <c r="AI59" s="220">
        <f t="shared" si="15"/>
        <v>0</v>
      </c>
      <c r="AJ59" s="220"/>
      <c r="AK59" s="220">
        <f t="shared" si="16"/>
        <v>0</v>
      </c>
      <c r="AL59" s="220"/>
      <c r="AM59" s="220">
        <f t="shared" si="17"/>
        <v>0</v>
      </c>
      <c r="AN59" s="220"/>
      <c r="AO59" s="220">
        <f t="shared" si="18"/>
        <v>0</v>
      </c>
      <c r="AP59" s="220"/>
      <c r="AQ59" s="220">
        <f t="shared" si="19"/>
        <v>0</v>
      </c>
      <c r="AR59" s="220"/>
      <c r="AS59" s="220">
        <f t="shared" si="20"/>
        <v>0</v>
      </c>
      <c r="AT59" s="220"/>
      <c r="AU59" s="220">
        <f t="shared" si="21"/>
        <v>0</v>
      </c>
      <c r="AV59" s="220"/>
      <c r="AW59" s="220">
        <f t="shared" si="22"/>
        <v>0</v>
      </c>
      <c r="AX59" s="220"/>
      <c r="AY59" s="220">
        <f t="shared" si="23"/>
        <v>0</v>
      </c>
      <c r="AZ59" s="220"/>
      <c r="BA59" s="220">
        <f t="shared" si="24"/>
        <v>0</v>
      </c>
      <c r="BB59" s="220"/>
      <c r="BC59" s="220">
        <f t="shared" si="25"/>
        <v>0</v>
      </c>
      <c r="BD59" s="220"/>
      <c r="BE59" s="220">
        <f t="shared" si="26"/>
        <v>0</v>
      </c>
      <c r="BF59" s="220"/>
      <c r="BG59" s="220">
        <f t="shared" si="27"/>
        <v>0</v>
      </c>
      <c r="BH59" s="220"/>
      <c r="BI59" s="220">
        <f t="shared" si="28"/>
        <v>0</v>
      </c>
      <c r="BJ59" s="220"/>
      <c r="BK59" s="220">
        <f t="shared" si="29"/>
        <v>0</v>
      </c>
      <c r="BL59" s="220"/>
      <c r="BM59" s="220">
        <f t="shared" si="30"/>
        <v>0</v>
      </c>
      <c r="BN59" s="220"/>
      <c r="BO59" s="220">
        <f t="shared" si="31"/>
        <v>0</v>
      </c>
    </row>
    <row r="60" spans="1:67">
      <c r="A60" s="232"/>
      <c r="B60" s="668"/>
      <c r="C60" s="219">
        <f>SUM(B60*7/100)</f>
        <v>0</v>
      </c>
      <c r="D60" s="219">
        <f t="shared" si="69"/>
        <v>0</v>
      </c>
      <c r="E60" s="219"/>
      <c r="F60" s="220"/>
      <c r="G60" s="220">
        <f t="shared" si="32"/>
        <v>0</v>
      </c>
      <c r="H60" s="220"/>
      <c r="I60" s="220">
        <f t="shared" si="2"/>
        <v>0</v>
      </c>
      <c r="J60" s="220"/>
      <c r="K60" s="220">
        <f t="shared" si="3"/>
        <v>0</v>
      </c>
      <c r="L60" s="220"/>
      <c r="M60" s="220">
        <f t="shared" si="4"/>
        <v>0</v>
      </c>
      <c r="N60" s="220"/>
      <c r="O60" s="220">
        <f t="shared" si="5"/>
        <v>0</v>
      </c>
      <c r="P60" s="220"/>
      <c r="Q60" s="220">
        <f t="shared" si="6"/>
        <v>0</v>
      </c>
      <c r="R60" s="220"/>
      <c r="S60" s="220">
        <f t="shared" si="7"/>
        <v>0</v>
      </c>
      <c r="T60" s="220"/>
      <c r="U60" s="220">
        <f t="shared" si="8"/>
        <v>0</v>
      </c>
      <c r="V60" s="220"/>
      <c r="W60" s="220">
        <f t="shared" si="9"/>
        <v>0</v>
      </c>
      <c r="X60" s="220"/>
      <c r="Y60" s="220">
        <f t="shared" si="10"/>
        <v>0</v>
      </c>
      <c r="Z60" s="220"/>
      <c r="AA60" s="220">
        <f t="shared" si="11"/>
        <v>0</v>
      </c>
      <c r="AB60" s="220"/>
      <c r="AC60" s="220">
        <f t="shared" si="12"/>
        <v>0</v>
      </c>
      <c r="AD60" s="220"/>
      <c r="AE60" s="220">
        <f t="shared" si="13"/>
        <v>0</v>
      </c>
      <c r="AF60" s="220"/>
      <c r="AG60" s="220">
        <f t="shared" si="14"/>
        <v>0</v>
      </c>
      <c r="AH60" s="220"/>
      <c r="AI60" s="220">
        <f t="shared" si="15"/>
        <v>0</v>
      </c>
      <c r="AJ60" s="220"/>
      <c r="AK60" s="220">
        <f t="shared" si="16"/>
        <v>0</v>
      </c>
      <c r="AL60" s="220"/>
      <c r="AM60" s="220">
        <f t="shared" si="17"/>
        <v>0</v>
      </c>
      <c r="AN60" s="220"/>
      <c r="AO60" s="220">
        <f t="shared" si="18"/>
        <v>0</v>
      </c>
      <c r="AP60" s="220"/>
      <c r="AQ60" s="220">
        <f t="shared" si="19"/>
        <v>0</v>
      </c>
      <c r="AR60" s="220"/>
      <c r="AS60" s="220">
        <f t="shared" si="20"/>
        <v>0</v>
      </c>
      <c r="AT60" s="220"/>
      <c r="AU60" s="220">
        <f t="shared" si="21"/>
        <v>0</v>
      </c>
      <c r="AV60" s="220"/>
      <c r="AW60" s="220">
        <f t="shared" si="22"/>
        <v>0</v>
      </c>
      <c r="AX60" s="220"/>
      <c r="AY60" s="220">
        <f t="shared" si="23"/>
        <v>0</v>
      </c>
      <c r="AZ60" s="220"/>
      <c r="BA60" s="220">
        <f t="shared" si="24"/>
        <v>0</v>
      </c>
      <c r="BB60" s="220"/>
      <c r="BC60" s="220">
        <f t="shared" si="25"/>
        <v>0</v>
      </c>
      <c r="BD60" s="220"/>
      <c r="BE60" s="220">
        <f t="shared" si="26"/>
        <v>0</v>
      </c>
      <c r="BF60" s="220"/>
      <c r="BG60" s="220">
        <f t="shared" si="27"/>
        <v>0</v>
      </c>
      <c r="BH60" s="220"/>
      <c r="BI60" s="220">
        <f t="shared" si="28"/>
        <v>0</v>
      </c>
      <c r="BJ60" s="220"/>
      <c r="BK60" s="220">
        <f t="shared" si="29"/>
        <v>0</v>
      </c>
      <c r="BL60" s="220"/>
      <c r="BM60" s="220">
        <f t="shared" si="30"/>
        <v>0</v>
      </c>
      <c r="BN60" s="220"/>
      <c r="BO60" s="220">
        <f t="shared" si="31"/>
        <v>0</v>
      </c>
    </row>
    <row r="61" spans="1:67">
      <c r="A61" s="232"/>
      <c r="B61" s="668"/>
      <c r="C61" s="219">
        <f t="shared" si="35"/>
        <v>0</v>
      </c>
      <c r="D61" s="219">
        <f t="shared" si="69"/>
        <v>0</v>
      </c>
      <c r="E61" s="219"/>
      <c r="F61" s="220"/>
      <c r="G61" s="220">
        <f t="shared" si="32"/>
        <v>0</v>
      </c>
      <c r="H61" s="220"/>
      <c r="I61" s="220">
        <f t="shared" si="2"/>
        <v>0</v>
      </c>
      <c r="J61" s="220"/>
      <c r="K61" s="220">
        <f t="shared" si="3"/>
        <v>0</v>
      </c>
      <c r="L61" s="220"/>
      <c r="M61" s="220">
        <f t="shared" si="4"/>
        <v>0</v>
      </c>
      <c r="N61" s="220"/>
      <c r="O61" s="220">
        <f t="shared" si="5"/>
        <v>0</v>
      </c>
      <c r="P61" s="220"/>
      <c r="Q61" s="220">
        <f t="shared" si="6"/>
        <v>0</v>
      </c>
      <c r="R61" s="220"/>
      <c r="S61" s="220">
        <f t="shared" si="7"/>
        <v>0</v>
      </c>
      <c r="T61" s="220"/>
      <c r="U61" s="220">
        <f t="shared" si="8"/>
        <v>0</v>
      </c>
      <c r="V61" s="220"/>
      <c r="W61" s="220">
        <f t="shared" si="9"/>
        <v>0</v>
      </c>
      <c r="X61" s="220"/>
      <c r="Y61" s="220">
        <f t="shared" si="10"/>
        <v>0</v>
      </c>
      <c r="Z61" s="220"/>
      <c r="AA61" s="220">
        <f t="shared" si="11"/>
        <v>0</v>
      </c>
      <c r="AB61" s="220"/>
      <c r="AC61" s="220">
        <f t="shared" si="12"/>
        <v>0</v>
      </c>
      <c r="AD61" s="220"/>
      <c r="AE61" s="220">
        <f t="shared" si="13"/>
        <v>0</v>
      </c>
      <c r="AF61" s="220"/>
      <c r="AG61" s="220">
        <f t="shared" si="14"/>
        <v>0</v>
      </c>
      <c r="AH61" s="220"/>
      <c r="AI61" s="220">
        <f t="shared" si="15"/>
        <v>0</v>
      </c>
      <c r="AJ61" s="220"/>
      <c r="AK61" s="220">
        <f t="shared" si="16"/>
        <v>0</v>
      </c>
      <c r="AL61" s="220"/>
      <c r="AM61" s="220">
        <f t="shared" si="17"/>
        <v>0</v>
      </c>
      <c r="AN61" s="220"/>
      <c r="AO61" s="220">
        <f t="shared" si="18"/>
        <v>0</v>
      </c>
      <c r="AP61" s="220"/>
      <c r="AQ61" s="220">
        <f t="shared" si="19"/>
        <v>0</v>
      </c>
      <c r="AR61" s="220"/>
      <c r="AS61" s="220">
        <f t="shared" si="20"/>
        <v>0</v>
      </c>
      <c r="AT61" s="220"/>
      <c r="AU61" s="220">
        <f t="shared" si="21"/>
        <v>0</v>
      </c>
      <c r="AV61" s="220"/>
      <c r="AW61" s="220">
        <f t="shared" si="22"/>
        <v>0</v>
      </c>
      <c r="AX61" s="220"/>
      <c r="AY61" s="220">
        <f t="shared" si="23"/>
        <v>0</v>
      </c>
      <c r="AZ61" s="220"/>
      <c r="BA61" s="220">
        <f t="shared" si="24"/>
        <v>0</v>
      </c>
      <c r="BB61" s="220"/>
      <c r="BC61" s="220">
        <f t="shared" si="25"/>
        <v>0</v>
      </c>
      <c r="BD61" s="220"/>
      <c r="BE61" s="220">
        <f t="shared" si="26"/>
        <v>0</v>
      </c>
      <c r="BF61" s="220"/>
      <c r="BG61" s="220">
        <f t="shared" si="27"/>
        <v>0</v>
      </c>
      <c r="BH61" s="220"/>
      <c r="BI61" s="220">
        <f t="shared" si="28"/>
        <v>0</v>
      </c>
      <c r="BJ61" s="220"/>
      <c r="BK61" s="220">
        <f t="shared" si="29"/>
        <v>0</v>
      </c>
      <c r="BL61" s="220"/>
      <c r="BM61" s="220">
        <f t="shared" si="30"/>
        <v>0</v>
      </c>
      <c r="BN61" s="220"/>
      <c r="BO61" s="220">
        <f t="shared" si="31"/>
        <v>0</v>
      </c>
    </row>
    <row r="62" spans="1:67">
      <c r="A62" s="232"/>
      <c r="B62" s="668"/>
      <c r="C62" s="219">
        <f>SUM(B62*7/100)</f>
        <v>0</v>
      </c>
      <c r="D62" s="219">
        <f t="shared" si="69"/>
        <v>0</v>
      </c>
      <c r="E62" s="219"/>
      <c r="F62" s="220"/>
      <c r="G62" s="220">
        <f t="shared" si="32"/>
        <v>0</v>
      </c>
      <c r="H62" s="220"/>
      <c r="I62" s="220">
        <f t="shared" si="2"/>
        <v>0</v>
      </c>
      <c r="J62" s="220"/>
      <c r="K62" s="220">
        <f t="shared" si="3"/>
        <v>0</v>
      </c>
      <c r="L62" s="220"/>
      <c r="M62" s="220">
        <f t="shared" si="4"/>
        <v>0</v>
      </c>
      <c r="N62" s="220"/>
      <c r="O62" s="220">
        <f t="shared" si="5"/>
        <v>0</v>
      </c>
      <c r="P62" s="220"/>
      <c r="Q62" s="220">
        <f t="shared" si="6"/>
        <v>0</v>
      </c>
      <c r="R62" s="220"/>
      <c r="S62" s="220">
        <f t="shared" si="7"/>
        <v>0</v>
      </c>
      <c r="T62" s="220"/>
      <c r="U62" s="220">
        <f t="shared" si="8"/>
        <v>0</v>
      </c>
      <c r="V62" s="220"/>
      <c r="W62" s="220">
        <f t="shared" si="9"/>
        <v>0</v>
      </c>
      <c r="X62" s="220"/>
      <c r="Y62" s="220">
        <f t="shared" si="10"/>
        <v>0</v>
      </c>
      <c r="Z62" s="220"/>
      <c r="AA62" s="220">
        <f t="shared" si="11"/>
        <v>0</v>
      </c>
      <c r="AB62" s="220"/>
      <c r="AC62" s="220">
        <f t="shared" si="12"/>
        <v>0</v>
      </c>
      <c r="AD62" s="220"/>
      <c r="AE62" s="220">
        <f t="shared" si="13"/>
        <v>0</v>
      </c>
      <c r="AF62" s="220"/>
      <c r="AG62" s="220">
        <f t="shared" si="14"/>
        <v>0</v>
      </c>
      <c r="AH62" s="220"/>
      <c r="AI62" s="220">
        <f t="shared" si="15"/>
        <v>0</v>
      </c>
      <c r="AJ62" s="220"/>
      <c r="AK62" s="220">
        <f t="shared" si="16"/>
        <v>0</v>
      </c>
      <c r="AL62" s="220"/>
      <c r="AM62" s="220">
        <f t="shared" si="17"/>
        <v>0</v>
      </c>
      <c r="AN62" s="220"/>
      <c r="AO62" s="220">
        <f t="shared" si="18"/>
        <v>0</v>
      </c>
      <c r="AP62" s="220"/>
      <c r="AQ62" s="220">
        <f t="shared" si="19"/>
        <v>0</v>
      </c>
      <c r="AR62" s="220"/>
      <c r="AS62" s="220">
        <f t="shared" si="20"/>
        <v>0</v>
      </c>
      <c r="AT62" s="220"/>
      <c r="AU62" s="220">
        <f t="shared" si="21"/>
        <v>0</v>
      </c>
      <c r="AV62" s="220"/>
      <c r="AW62" s="220">
        <f t="shared" si="22"/>
        <v>0</v>
      </c>
      <c r="AX62" s="220"/>
      <c r="AY62" s="220">
        <f t="shared" si="23"/>
        <v>0</v>
      </c>
      <c r="AZ62" s="220"/>
      <c r="BA62" s="220">
        <f t="shared" si="24"/>
        <v>0</v>
      </c>
      <c r="BB62" s="220"/>
      <c r="BC62" s="220">
        <f t="shared" si="25"/>
        <v>0</v>
      </c>
      <c r="BD62" s="220"/>
      <c r="BE62" s="220">
        <f t="shared" si="26"/>
        <v>0</v>
      </c>
      <c r="BF62" s="220"/>
      <c r="BG62" s="220">
        <f t="shared" si="27"/>
        <v>0</v>
      </c>
      <c r="BH62" s="220"/>
      <c r="BI62" s="220">
        <f t="shared" si="28"/>
        <v>0</v>
      </c>
      <c r="BJ62" s="220"/>
      <c r="BK62" s="220">
        <f t="shared" si="29"/>
        <v>0</v>
      </c>
      <c r="BL62" s="220"/>
      <c r="BM62" s="220">
        <f t="shared" si="30"/>
        <v>0</v>
      </c>
      <c r="BN62" s="220"/>
      <c r="BO62" s="220">
        <f t="shared" si="31"/>
        <v>0</v>
      </c>
    </row>
    <row r="63" spans="1:67">
      <c r="A63" s="232"/>
      <c r="B63" s="668"/>
      <c r="C63" s="219">
        <f t="shared" si="35"/>
        <v>0</v>
      </c>
      <c r="D63" s="219">
        <f t="shared" si="69"/>
        <v>0</v>
      </c>
      <c r="E63" s="219"/>
      <c r="F63" s="220"/>
      <c r="G63" s="220">
        <f t="shared" si="32"/>
        <v>0</v>
      </c>
      <c r="H63" s="220"/>
      <c r="I63" s="220">
        <f t="shared" si="2"/>
        <v>0</v>
      </c>
      <c r="J63" s="220"/>
      <c r="K63" s="220">
        <f t="shared" si="3"/>
        <v>0</v>
      </c>
      <c r="L63" s="220"/>
      <c r="M63" s="220">
        <f t="shared" si="4"/>
        <v>0</v>
      </c>
      <c r="N63" s="220"/>
      <c r="O63" s="220">
        <f t="shared" si="5"/>
        <v>0</v>
      </c>
      <c r="P63" s="220"/>
      <c r="Q63" s="220">
        <f t="shared" si="6"/>
        <v>0</v>
      </c>
      <c r="R63" s="220"/>
      <c r="S63" s="220">
        <f t="shared" si="7"/>
        <v>0</v>
      </c>
      <c r="T63" s="220"/>
      <c r="U63" s="220">
        <f t="shared" si="8"/>
        <v>0</v>
      </c>
      <c r="V63" s="220"/>
      <c r="W63" s="220">
        <f t="shared" si="9"/>
        <v>0</v>
      </c>
      <c r="X63" s="220"/>
      <c r="Y63" s="220">
        <f t="shared" si="10"/>
        <v>0</v>
      </c>
      <c r="Z63" s="220"/>
      <c r="AA63" s="220">
        <f t="shared" si="11"/>
        <v>0</v>
      </c>
      <c r="AB63" s="220"/>
      <c r="AC63" s="220">
        <f t="shared" si="12"/>
        <v>0</v>
      </c>
      <c r="AD63" s="220"/>
      <c r="AE63" s="220">
        <f t="shared" si="13"/>
        <v>0</v>
      </c>
      <c r="AF63" s="220"/>
      <c r="AG63" s="220">
        <f t="shared" si="14"/>
        <v>0</v>
      </c>
      <c r="AH63" s="220"/>
      <c r="AI63" s="220">
        <f t="shared" si="15"/>
        <v>0</v>
      </c>
      <c r="AJ63" s="220"/>
      <c r="AK63" s="220">
        <f t="shared" si="16"/>
        <v>0</v>
      </c>
      <c r="AL63" s="220"/>
      <c r="AM63" s="220">
        <f t="shared" si="17"/>
        <v>0</v>
      </c>
      <c r="AN63" s="220"/>
      <c r="AO63" s="220">
        <f t="shared" si="18"/>
        <v>0</v>
      </c>
      <c r="AP63" s="220"/>
      <c r="AQ63" s="220">
        <f t="shared" si="19"/>
        <v>0</v>
      </c>
      <c r="AR63" s="220"/>
      <c r="AS63" s="220">
        <f t="shared" si="20"/>
        <v>0</v>
      </c>
      <c r="AT63" s="220"/>
      <c r="AU63" s="220">
        <f t="shared" si="21"/>
        <v>0</v>
      </c>
      <c r="AV63" s="220"/>
      <c r="AW63" s="220">
        <f t="shared" si="22"/>
        <v>0</v>
      </c>
      <c r="AX63" s="220"/>
      <c r="AY63" s="220">
        <f t="shared" si="23"/>
        <v>0</v>
      </c>
      <c r="AZ63" s="220"/>
      <c r="BA63" s="220">
        <f t="shared" si="24"/>
        <v>0</v>
      </c>
      <c r="BB63" s="220"/>
      <c r="BC63" s="220">
        <f t="shared" si="25"/>
        <v>0</v>
      </c>
      <c r="BD63" s="220"/>
      <c r="BE63" s="220">
        <f t="shared" si="26"/>
        <v>0</v>
      </c>
      <c r="BF63" s="220"/>
      <c r="BG63" s="220">
        <f t="shared" si="27"/>
        <v>0</v>
      </c>
      <c r="BH63" s="220"/>
      <c r="BI63" s="220">
        <f t="shared" si="28"/>
        <v>0</v>
      </c>
      <c r="BJ63" s="220"/>
      <c r="BK63" s="220">
        <f t="shared" si="29"/>
        <v>0</v>
      </c>
      <c r="BL63" s="220"/>
      <c r="BM63" s="220">
        <f t="shared" si="30"/>
        <v>0</v>
      </c>
      <c r="BN63" s="220"/>
      <c r="BO63" s="220">
        <f t="shared" si="31"/>
        <v>0</v>
      </c>
    </row>
    <row r="64" spans="1:67">
      <c r="A64" s="232"/>
      <c r="B64" s="668"/>
      <c r="C64" s="219">
        <f>SUM(B64*7/100)</f>
        <v>0</v>
      </c>
      <c r="D64" s="219">
        <f t="shared" si="69"/>
        <v>0</v>
      </c>
      <c r="E64" s="219"/>
      <c r="F64" s="220"/>
      <c r="G64" s="220">
        <f t="shared" si="32"/>
        <v>0</v>
      </c>
      <c r="H64" s="220"/>
      <c r="I64" s="220">
        <f t="shared" si="2"/>
        <v>0</v>
      </c>
      <c r="J64" s="220"/>
      <c r="K64" s="220">
        <f t="shared" si="3"/>
        <v>0</v>
      </c>
      <c r="L64" s="220"/>
      <c r="M64" s="220">
        <f t="shared" si="4"/>
        <v>0</v>
      </c>
      <c r="N64" s="220"/>
      <c r="O64" s="220">
        <f t="shared" si="5"/>
        <v>0</v>
      </c>
      <c r="P64" s="220"/>
      <c r="Q64" s="220">
        <f t="shared" si="6"/>
        <v>0</v>
      </c>
      <c r="R64" s="220"/>
      <c r="S64" s="220">
        <f t="shared" si="7"/>
        <v>0</v>
      </c>
      <c r="T64" s="220"/>
      <c r="U64" s="220">
        <f t="shared" si="8"/>
        <v>0</v>
      </c>
      <c r="V64" s="220"/>
      <c r="W64" s="220">
        <f t="shared" si="9"/>
        <v>0</v>
      </c>
      <c r="X64" s="220"/>
      <c r="Y64" s="220">
        <f t="shared" si="10"/>
        <v>0</v>
      </c>
      <c r="Z64" s="220"/>
      <c r="AA64" s="220">
        <f t="shared" si="11"/>
        <v>0</v>
      </c>
      <c r="AB64" s="220"/>
      <c r="AC64" s="220">
        <f t="shared" si="12"/>
        <v>0</v>
      </c>
      <c r="AD64" s="220"/>
      <c r="AE64" s="220">
        <f t="shared" si="13"/>
        <v>0</v>
      </c>
      <c r="AF64" s="220"/>
      <c r="AG64" s="220">
        <f t="shared" si="14"/>
        <v>0</v>
      </c>
      <c r="AH64" s="220"/>
      <c r="AI64" s="220">
        <f t="shared" si="15"/>
        <v>0</v>
      </c>
      <c r="AJ64" s="220"/>
      <c r="AK64" s="220">
        <f t="shared" si="16"/>
        <v>0</v>
      </c>
      <c r="AL64" s="220"/>
      <c r="AM64" s="220">
        <f t="shared" si="17"/>
        <v>0</v>
      </c>
      <c r="AN64" s="220"/>
      <c r="AO64" s="220">
        <f t="shared" si="18"/>
        <v>0</v>
      </c>
      <c r="AP64" s="220"/>
      <c r="AQ64" s="220">
        <f t="shared" si="19"/>
        <v>0</v>
      </c>
      <c r="AR64" s="220"/>
      <c r="AS64" s="220">
        <f t="shared" si="20"/>
        <v>0</v>
      </c>
      <c r="AT64" s="220"/>
      <c r="AU64" s="220">
        <f t="shared" si="21"/>
        <v>0</v>
      </c>
      <c r="AV64" s="220"/>
      <c r="AW64" s="220">
        <f t="shared" si="22"/>
        <v>0</v>
      </c>
      <c r="AX64" s="220"/>
      <c r="AY64" s="220">
        <f t="shared" si="23"/>
        <v>0</v>
      </c>
      <c r="AZ64" s="220"/>
      <c r="BA64" s="220">
        <f t="shared" si="24"/>
        <v>0</v>
      </c>
      <c r="BB64" s="220"/>
      <c r="BC64" s="220">
        <f t="shared" si="25"/>
        <v>0</v>
      </c>
      <c r="BD64" s="220"/>
      <c r="BE64" s="220">
        <f t="shared" si="26"/>
        <v>0</v>
      </c>
      <c r="BF64" s="220"/>
      <c r="BG64" s="220">
        <f t="shared" si="27"/>
        <v>0</v>
      </c>
      <c r="BH64" s="220"/>
      <c r="BI64" s="220">
        <f t="shared" si="28"/>
        <v>0</v>
      </c>
      <c r="BJ64" s="220"/>
      <c r="BK64" s="220">
        <f t="shared" si="29"/>
        <v>0</v>
      </c>
      <c r="BL64" s="220"/>
      <c r="BM64" s="220">
        <f t="shared" si="30"/>
        <v>0</v>
      </c>
      <c r="BN64" s="220"/>
      <c r="BO64" s="220">
        <f t="shared" si="31"/>
        <v>0</v>
      </c>
    </row>
    <row r="65" spans="1:67">
      <c r="A65" s="232"/>
      <c r="B65" s="668"/>
      <c r="C65" s="219">
        <f>SUM(B65*7/100)</f>
        <v>0</v>
      </c>
      <c r="D65" s="219">
        <f t="shared" si="69"/>
        <v>0</v>
      </c>
      <c r="E65" s="219"/>
      <c r="F65" s="220"/>
      <c r="G65" s="220">
        <f t="shared" si="32"/>
        <v>0</v>
      </c>
      <c r="H65" s="220"/>
      <c r="I65" s="220">
        <f t="shared" si="2"/>
        <v>0</v>
      </c>
      <c r="J65" s="220"/>
      <c r="K65" s="220">
        <f t="shared" si="3"/>
        <v>0</v>
      </c>
      <c r="L65" s="220"/>
      <c r="M65" s="220">
        <f t="shared" si="4"/>
        <v>0</v>
      </c>
      <c r="N65" s="220"/>
      <c r="O65" s="220">
        <f t="shared" si="5"/>
        <v>0</v>
      </c>
      <c r="P65" s="220"/>
      <c r="Q65" s="220">
        <f t="shared" si="6"/>
        <v>0</v>
      </c>
      <c r="R65" s="220"/>
      <c r="S65" s="220">
        <f t="shared" si="7"/>
        <v>0</v>
      </c>
      <c r="T65" s="220"/>
      <c r="U65" s="220">
        <f t="shared" si="8"/>
        <v>0</v>
      </c>
      <c r="V65" s="220"/>
      <c r="W65" s="220">
        <f t="shared" si="9"/>
        <v>0</v>
      </c>
      <c r="X65" s="220"/>
      <c r="Y65" s="220">
        <f t="shared" si="10"/>
        <v>0</v>
      </c>
      <c r="Z65" s="220"/>
      <c r="AA65" s="220">
        <f t="shared" si="11"/>
        <v>0</v>
      </c>
      <c r="AB65" s="220"/>
      <c r="AC65" s="220">
        <f t="shared" si="12"/>
        <v>0</v>
      </c>
      <c r="AD65" s="220"/>
      <c r="AE65" s="220">
        <f t="shared" si="13"/>
        <v>0</v>
      </c>
      <c r="AF65" s="220"/>
      <c r="AG65" s="220">
        <f t="shared" si="14"/>
        <v>0</v>
      </c>
      <c r="AH65" s="220"/>
      <c r="AI65" s="220">
        <f t="shared" si="15"/>
        <v>0</v>
      </c>
      <c r="AJ65" s="220"/>
      <c r="AK65" s="220">
        <f t="shared" si="16"/>
        <v>0</v>
      </c>
      <c r="AL65" s="220"/>
      <c r="AM65" s="220">
        <f t="shared" si="17"/>
        <v>0</v>
      </c>
      <c r="AN65" s="220"/>
      <c r="AO65" s="220">
        <f t="shared" si="18"/>
        <v>0</v>
      </c>
      <c r="AP65" s="220"/>
      <c r="AQ65" s="220">
        <f t="shared" si="19"/>
        <v>0</v>
      </c>
      <c r="AR65" s="220"/>
      <c r="AS65" s="220">
        <f t="shared" si="20"/>
        <v>0</v>
      </c>
      <c r="AT65" s="220"/>
      <c r="AU65" s="220">
        <f t="shared" si="21"/>
        <v>0</v>
      </c>
      <c r="AV65" s="220"/>
      <c r="AW65" s="220">
        <f t="shared" si="22"/>
        <v>0</v>
      </c>
      <c r="AX65" s="220"/>
      <c r="AY65" s="220">
        <f t="shared" si="23"/>
        <v>0</v>
      </c>
      <c r="AZ65" s="220"/>
      <c r="BA65" s="220">
        <f t="shared" si="24"/>
        <v>0</v>
      </c>
      <c r="BB65" s="220"/>
      <c r="BC65" s="220">
        <f t="shared" si="25"/>
        <v>0</v>
      </c>
      <c r="BD65" s="220"/>
      <c r="BE65" s="220">
        <f t="shared" si="26"/>
        <v>0</v>
      </c>
      <c r="BF65" s="220"/>
      <c r="BG65" s="220">
        <f t="shared" si="27"/>
        <v>0</v>
      </c>
      <c r="BH65" s="220"/>
      <c r="BI65" s="220">
        <f t="shared" si="28"/>
        <v>0</v>
      </c>
      <c r="BJ65" s="220"/>
      <c r="BK65" s="220">
        <f t="shared" si="29"/>
        <v>0</v>
      </c>
      <c r="BL65" s="220"/>
      <c r="BM65" s="220">
        <f t="shared" si="30"/>
        <v>0</v>
      </c>
      <c r="BN65" s="220"/>
      <c r="BO65" s="220">
        <f t="shared" si="31"/>
        <v>0</v>
      </c>
    </row>
    <row r="66" spans="1:67">
      <c r="A66" s="232"/>
      <c r="B66" s="668"/>
      <c r="C66" s="219">
        <f t="shared" si="35"/>
        <v>0</v>
      </c>
      <c r="D66" s="219">
        <f t="shared" si="69"/>
        <v>0</v>
      </c>
      <c r="E66" s="219"/>
      <c r="F66" s="220"/>
      <c r="G66" s="220">
        <f t="shared" si="32"/>
        <v>0</v>
      </c>
      <c r="H66" s="220"/>
      <c r="I66" s="220">
        <f t="shared" si="2"/>
        <v>0</v>
      </c>
      <c r="J66" s="220"/>
      <c r="K66" s="220">
        <f t="shared" si="3"/>
        <v>0</v>
      </c>
      <c r="L66" s="220"/>
      <c r="M66" s="220">
        <f t="shared" si="4"/>
        <v>0</v>
      </c>
      <c r="N66" s="220"/>
      <c r="O66" s="220">
        <f t="shared" si="5"/>
        <v>0</v>
      </c>
      <c r="P66" s="220"/>
      <c r="Q66" s="220">
        <f>SUM(P66*D66)</f>
        <v>0</v>
      </c>
      <c r="R66" s="220"/>
      <c r="S66" s="220">
        <f t="shared" si="7"/>
        <v>0</v>
      </c>
      <c r="T66" s="220"/>
      <c r="U66" s="220">
        <f t="shared" si="8"/>
        <v>0</v>
      </c>
      <c r="V66" s="220"/>
      <c r="W66" s="220">
        <f t="shared" si="9"/>
        <v>0</v>
      </c>
      <c r="X66" s="220"/>
      <c r="Y66" s="220">
        <f t="shared" si="10"/>
        <v>0</v>
      </c>
      <c r="Z66" s="220"/>
      <c r="AA66" s="220">
        <f t="shared" si="11"/>
        <v>0</v>
      </c>
      <c r="AB66" s="220"/>
      <c r="AC66" s="220">
        <f t="shared" si="12"/>
        <v>0</v>
      </c>
      <c r="AD66" s="220"/>
      <c r="AE66" s="220">
        <f t="shared" si="13"/>
        <v>0</v>
      </c>
      <c r="AF66" s="220"/>
      <c r="AG66" s="220">
        <f t="shared" si="14"/>
        <v>0</v>
      </c>
      <c r="AH66" s="220"/>
      <c r="AI66" s="220">
        <f t="shared" si="15"/>
        <v>0</v>
      </c>
      <c r="AJ66" s="220"/>
      <c r="AK66" s="220">
        <f t="shared" si="16"/>
        <v>0</v>
      </c>
      <c r="AL66" s="220"/>
      <c r="AM66" s="220">
        <f t="shared" si="17"/>
        <v>0</v>
      </c>
      <c r="AN66" s="220"/>
      <c r="AO66" s="220">
        <f t="shared" si="18"/>
        <v>0</v>
      </c>
      <c r="AP66" s="220"/>
      <c r="AQ66" s="220">
        <f t="shared" si="19"/>
        <v>0</v>
      </c>
      <c r="AR66" s="220"/>
      <c r="AS66" s="220">
        <f t="shared" si="20"/>
        <v>0</v>
      </c>
      <c r="AT66" s="220"/>
      <c r="AU66" s="220">
        <f t="shared" si="21"/>
        <v>0</v>
      </c>
      <c r="AV66" s="220"/>
      <c r="AW66" s="220">
        <f t="shared" si="22"/>
        <v>0</v>
      </c>
      <c r="AX66" s="220"/>
      <c r="AY66" s="220">
        <f t="shared" si="23"/>
        <v>0</v>
      </c>
      <c r="AZ66" s="220"/>
      <c r="BA66" s="220">
        <f t="shared" si="24"/>
        <v>0</v>
      </c>
      <c r="BB66" s="220"/>
      <c r="BC66" s="220">
        <f t="shared" si="25"/>
        <v>0</v>
      </c>
      <c r="BD66" s="220"/>
      <c r="BE66" s="220">
        <f t="shared" si="26"/>
        <v>0</v>
      </c>
      <c r="BF66" s="220"/>
      <c r="BG66" s="220">
        <f t="shared" si="27"/>
        <v>0</v>
      </c>
      <c r="BH66" s="220"/>
      <c r="BI66" s="220">
        <f t="shared" si="28"/>
        <v>0</v>
      </c>
      <c r="BJ66" s="220"/>
      <c r="BK66" s="220">
        <f t="shared" si="29"/>
        <v>0</v>
      </c>
      <c r="BL66" s="220"/>
      <c r="BM66" s="220">
        <f t="shared" si="30"/>
        <v>0</v>
      </c>
      <c r="BN66" s="220"/>
      <c r="BO66" s="220">
        <f t="shared" si="31"/>
        <v>0</v>
      </c>
    </row>
    <row r="67" spans="1:67">
      <c r="A67" s="232"/>
      <c r="B67" s="668"/>
      <c r="C67" s="219">
        <f t="shared" si="35"/>
        <v>0</v>
      </c>
      <c r="D67" s="219">
        <f>SUM(B67)</f>
        <v>0</v>
      </c>
      <c r="E67" s="219"/>
      <c r="F67" s="220"/>
      <c r="G67" s="220">
        <f t="shared" ref="G67" si="70">SUM(D67*F67)</f>
        <v>0</v>
      </c>
      <c r="H67" s="220"/>
      <c r="I67" s="220">
        <f t="shared" ref="I67" si="71">SUM(D67*H67)</f>
        <v>0</v>
      </c>
      <c r="J67" s="220"/>
      <c r="K67" s="220">
        <f t="shared" ref="K67" si="72">SUM(J67*D67)</f>
        <v>0</v>
      </c>
      <c r="L67" s="220"/>
      <c r="M67" s="220">
        <f t="shared" ref="M67" si="73">SUM(D67*L67)</f>
        <v>0</v>
      </c>
      <c r="N67" s="220"/>
      <c r="O67" s="220">
        <f t="shared" ref="O67" si="74">SUM(N67*D67)</f>
        <v>0</v>
      </c>
      <c r="P67" s="220"/>
      <c r="Q67" s="220">
        <f>SUM(P67*D67)</f>
        <v>0</v>
      </c>
      <c r="R67" s="220"/>
      <c r="S67" s="220">
        <f t="shared" ref="S67" si="75">SUM(R67*D67)</f>
        <v>0</v>
      </c>
      <c r="T67" s="220"/>
      <c r="U67" s="220">
        <f t="shared" ref="U67" si="76">SUM(T67*D67)</f>
        <v>0</v>
      </c>
      <c r="V67" s="220"/>
      <c r="W67" s="220">
        <f t="shared" ref="W67" si="77">SUM(V67*D67)</f>
        <v>0</v>
      </c>
      <c r="X67" s="220"/>
      <c r="Y67" s="220">
        <f t="shared" ref="Y67" si="78">SUM(W67*D67)</f>
        <v>0</v>
      </c>
      <c r="Z67" s="220"/>
      <c r="AA67" s="220">
        <f t="shared" ref="AA67" si="79">SUM(Z67*D67)</f>
        <v>0</v>
      </c>
      <c r="AB67" s="220"/>
      <c r="AC67" s="220">
        <f t="shared" ref="AC67" si="80">SUM(AB67*D67)</f>
        <v>0</v>
      </c>
      <c r="AD67" s="220"/>
      <c r="AE67" s="220">
        <f t="shared" ref="AE67" si="81">SUM(AD67*D67)</f>
        <v>0</v>
      </c>
      <c r="AF67" s="220"/>
      <c r="AG67" s="220">
        <f t="shared" ref="AG67" si="82">SUM(AF67*D67)</f>
        <v>0</v>
      </c>
      <c r="AH67" s="220"/>
      <c r="AI67" s="220">
        <f t="shared" ref="AI67" si="83">SUM(AH67*D67)</f>
        <v>0</v>
      </c>
      <c r="AJ67" s="220"/>
      <c r="AK67" s="220">
        <f t="shared" ref="AK67" si="84">SUM(AJ67*D67)</f>
        <v>0</v>
      </c>
      <c r="AL67" s="220"/>
      <c r="AM67" s="220">
        <f t="shared" ref="AM67" si="85">SUM(AL67*D67)</f>
        <v>0</v>
      </c>
      <c r="AN67" s="220"/>
      <c r="AO67" s="220">
        <f t="shared" ref="AO67" si="86">SUM(AN67*D67)</f>
        <v>0</v>
      </c>
      <c r="AP67" s="220"/>
      <c r="AQ67" s="220">
        <f t="shared" ref="AQ67" si="87">SUM(AP67*D67)</f>
        <v>0</v>
      </c>
      <c r="AR67" s="220"/>
      <c r="AS67" s="220">
        <f t="shared" ref="AS67" si="88">SUM(AR67*D67)</f>
        <v>0</v>
      </c>
      <c r="AT67" s="220"/>
      <c r="AU67" s="220">
        <f t="shared" ref="AU67" si="89">SUM(AT67*D67)</f>
        <v>0</v>
      </c>
      <c r="AV67" s="220"/>
      <c r="AW67" s="220">
        <f t="shared" ref="AW67" si="90">SUM(AV67*D67)</f>
        <v>0</v>
      </c>
      <c r="AX67" s="220"/>
      <c r="AY67" s="220">
        <f t="shared" ref="AY67" si="91">SUM(AX67*D67)</f>
        <v>0</v>
      </c>
      <c r="AZ67" s="220"/>
      <c r="BA67" s="220">
        <f t="shared" ref="BA67" si="92">SUM(AZ67*D67)</f>
        <v>0</v>
      </c>
      <c r="BB67" s="220"/>
      <c r="BC67" s="220">
        <f t="shared" ref="BC67" si="93">SUM(BB67*D67)</f>
        <v>0</v>
      </c>
      <c r="BD67" s="220"/>
      <c r="BE67" s="220">
        <f t="shared" ref="BE67" si="94">SUM(BD67*D67)</f>
        <v>0</v>
      </c>
      <c r="BF67" s="220">
        <v>1</v>
      </c>
      <c r="BG67" s="220">
        <f t="shared" ref="BG67" si="95">SUM(BF67*D67)</f>
        <v>0</v>
      </c>
      <c r="BH67" s="220"/>
      <c r="BI67" s="220">
        <f t="shared" ref="BI67" si="96">SUM(BH67*D67)</f>
        <v>0</v>
      </c>
      <c r="BJ67" s="220"/>
      <c r="BK67" s="220">
        <f t="shared" ref="BK67" si="97">SUM(BJ67*D67)</f>
        <v>0</v>
      </c>
      <c r="BL67" s="220"/>
      <c r="BM67" s="220">
        <f t="shared" ref="BM67" si="98">SUM(BL67*D67)</f>
        <v>0</v>
      </c>
      <c r="BN67" s="220"/>
      <c r="BO67" s="220">
        <f t="shared" ref="BO67" si="99">SUM(BN67*D67)</f>
        <v>0</v>
      </c>
    </row>
    <row r="68" spans="1:67" hidden="1">
      <c r="A68" s="226" t="s">
        <v>105</v>
      </c>
      <c r="B68" s="230"/>
      <c r="C68" s="227"/>
      <c r="D68" s="227"/>
      <c r="E68" s="227"/>
      <c r="F68" s="224"/>
      <c r="G68" s="225">
        <f>SUM(G3:G67)</f>
        <v>0</v>
      </c>
      <c r="H68" s="224"/>
      <c r="I68" s="224">
        <f>SUM(I3:I67)</f>
        <v>0</v>
      </c>
      <c r="J68" s="224"/>
      <c r="K68" s="224">
        <f>SUM(K3:K67)</f>
        <v>0</v>
      </c>
      <c r="L68" s="224"/>
      <c r="M68" s="224">
        <f>SUM(M3:M67)</f>
        <v>0</v>
      </c>
      <c r="N68" s="224"/>
      <c r="O68" s="224">
        <f>SUM(O3:O67)</f>
        <v>0</v>
      </c>
      <c r="P68" s="224"/>
      <c r="Q68" s="224">
        <f>SUM(Q3:Q67)</f>
        <v>0</v>
      </c>
      <c r="R68" s="224"/>
      <c r="S68" s="224">
        <f>SUM(S3:S67)</f>
        <v>0</v>
      </c>
      <c r="T68" s="224"/>
      <c r="U68" s="224">
        <f>SUM(U3:U67)</f>
        <v>0</v>
      </c>
      <c r="V68" s="224"/>
      <c r="W68" s="224">
        <f>SUM(W3:W67)</f>
        <v>0</v>
      </c>
      <c r="X68" s="224"/>
      <c r="Y68" s="224">
        <f>SUM(Y3:Y67)</f>
        <v>0</v>
      </c>
      <c r="Z68" s="224"/>
      <c r="AA68" s="224">
        <f>SUM(AA3:AA67)</f>
        <v>0</v>
      </c>
      <c r="AB68" s="224"/>
      <c r="AC68" s="224">
        <f>SUM(AC3:AC67)</f>
        <v>0</v>
      </c>
      <c r="AD68" s="224"/>
      <c r="AE68" s="224">
        <f>SUM(AE3:AE67)</f>
        <v>0</v>
      </c>
      <c r="AF68" s="224"/>
      <c r="AG68" s="224">
        <f>SUM(AG3:AG67)</f>
        <v>0</v>
      </c>
      <c r="AH68" s="224"/>
      <c r="AI68" s="224">
        <f>SUM(AI3:AI67)</f>
        <v>0</v>
      </c>
      <c r="AJ68" s="224"/>
      <c r="AK68" s="224">
        <f>SUM(AK3:AK67)</f>
        <v>0</v>
      </c>
      <c r="AL68" s="224"/>
      <c r="AM68" s="224">
        <f>SUM(AM3:AM67)</f>
        <v>0</v>
      </c>
      <c r="AN68" s="224"/>
      <c r="AO68" s="224">
        <f>SUM(AO3:AO67)</f>
        <v>0</v>
      </c>
      <c r="AP68" s="224"/>
      <c r="AQ68" s="224">
        <f>SUM(AQ3:AQ67)</f>
        <v>0</v>
      </c>
      <c r="AR68" s="224"/>
      <c r="AS68" s="224">
        <f>SUM(AS3:AS67)</f>
        <v>0</v>
      </c>
      <c r="AT68" s="224"/>
      <c r="AU68" s="224">
        <f>SUM(AU3:AU67)</f>
        <v>0</v>
      </c>
      <c r="AV68" s="224"/>
      <c r="AW68" s="224">
        <f>SUM(AW3:AW67)</f>
        <v>0</v>
      </c>
      <c r="AX68" s="224"/>
      <c r="AY68" s="224">
        <f>SUM(AY3:AY67)</f>
        <v>0</v>
      </c>
      <c r="AZ68" s="224"/>
      <c r="BA68" s="224">
        <f>SUM(BA3:BA67)</f>
        <v>0</v>
      </c>
      <c r="BB68" s="224"/>
      <c r="BC68" s="224">
        <f>SUM(BC3:BC67)</f>
        <v>0</v>
      </c>
      <c r="BD68" s="224"/>
      <c r="BE68" s="224">
        <f>SUM(BE3:BE67)</f>
        <v>0</v>
      </c>
      <c r="BF68" s="224"/>
      <c r="BG68" s="224">
        <f>SUM(BG3:BG67)</f>
        <v>0</v>
      </c>
      <c r="BH68" s="224"/>
      <c r="BI68" s="224">
        <f>SUM(BI3:BI67)</f>
        <v>0</v>
      </c>
      <c r="BJ68" s="224"/>
      <c r="BK68" s="224">
        <f>SUM(BK3:BK67)</f>
        <v>0</v>
      </c>
      <c r="BL68" s="224"/>
      <c r="BM68" s="224">
        <f>SUM(BM3:BM67)</f>
        <v>0</v>
      </c>
      <c r="BN68" s="224"/>
      <c r="BO68" s="224">
        <f>SUM(BO3:BO67)</f>
        <v>0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25"/>
  <sheetViews>
    <sheetView workbookViewId="0">
      <selection activeCell="A3" sqref="A3"/>
    </sheetView>
  </sheetViews>
  <sheetFormatPr defaultRowHeight="12.75"/>
  <sheetData>
    <row r="1" spans="1:1" ht="51">
      <c r="A1" s="261"/>
    </row>
    <row r="2" spans="1:1">
      <c r="A2" s="265">
        <v>42005</v>
      </c>
    </row>
    <row r="3" spans="1:1">
      <c r="A3" s="263"/>
    </row>
    <row r="4" spans="1:1">
      <c r="A4" s="263"/>
    </row>
    <row r="5" spans="1:1">
      <c r="A5" s="263"/>
    </row>
    <row r="6" spans="1:1">
      <c r="A6" s="263"/>
    </row>
    <row r="7" spans="1:1">
      <c r="A7" s="262"/>
    </row>
    <row r="8" spans="1:1">
      <c r="A8" s="262"/>
    </row>
    <row r="9" spans="1:1">
      <c r="A9" s="262"/>
    </row>
    <row r="10" spans="1:1">
      <c r="A10" s="262"/>
    </row>
    <row r="11" spans="1:1">
      <c r="A11" s="262"/>
    </row>
    <row r="12" spans="1:1">
      <c r="A12" s="262"/>
    </row>
    <row r="13" spans="1:1">
      <c r="A13" s="262"/>
    </row>
    <row r="14" spans="1:1">
      <c r="A14" s="262"/>
    </row>
    <row r="15" spans="1:1">
      <c r="A15" s="262"/>
    </row>
    <row r="16" spans="1:1">
      <c r="A16" s="262"/>
    </row>
    <row r="19" spans="1:5">
      <c r="A19" s="264"/>
    </row>
    <row r="24" spans="1:5">
      <c r="E24" t="s">
        <v>140</v>
      </c>
    </row>
    <row r="25" spans="1:5">
      <c r="E25" t="s">
        <v>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</vt:i4>
      </vt:variant>
    </vt:vector>
  </HeadingPairs>
  <TitlesOfParts>
    <vt:vector size="38" baseType="lpstr">
      <vt:lpstr>1st</vt:lpstr>
      <vt:lpstr>2nd</vt:lpstr>
      <vt:lpstr>3rd</vt:lpstr>
      <vt:lpstr>4th</vt:lpstr>
      <vt:lpstr>5th</vt:lpstr>
      <vt:lpstr>6th</vt:lpstr>
      <vt:lpstr>7th</vt:lpstr>
      <vt:lpstr>8th</vt:lpstr>
      <vt:lpstr>9th</vt:lpstr>
      <vt:lpstr>10th</vt:lpstr>
      <vt:lpstr>11th</vt:lpstr>
      <vt:lpstr>12th</vt:lpstr>
      <vt:lpstr>13th</vt:lpstr>
      <vt:lpstr>14th</vt:lpstr>
      <vt:lpstr>15th</vt:lpstr>
      <vt:lpstr>16th</vt:lpstr>
      <vt:lpstr>17th</vt:lpstr>
      <vt:lpstr>18th</vt:lpstr>
      <vt:lpstr>19th</vt:lpstr>
      <vt:lpstr>20th</vt:lpstr>
      <vt:lpstr>21st</vt:lpstr>
      <vt:lpstr>22nd</vt:lpstr>
      <vt:lpstr>23rd</vt:lpstr>
      <vt:lpstr>24th</vt:lpstr>
      <vt:lpstr>25th</vt:lpstr>
      <vt:lpstr>26th</vt:lpstr>
      <vt:lpstr>27th</vt:lpstr>
      <vt:lpstr>28th</vt:lpstr>
      <vt:lpstr>29th</vt:lpstr>
      <vt:lpstr>30th</vt:lpstr>
      <vt:lpstr>31st</vt:lpstr>
      <vt:lpstr>monthtodate glance</vt:lpstr>
      <vt:lpstr>pl budget vs actual</vt:lpstr>
      <vt:lpstr>Tills in a glance</vt:lpstr>
      <vt:lpstr>expenses budget</vt:lpstr>
      <vt:lpstr>wages</vt:lpstr>
      <vt:lpstr>Sheet2</vt:lpstr>
      <vt:lpstr>'1st'!Print_Area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Zouki Westmead</cp:lastModifiedBy>
  <cp:lastPrinted>2025-08-14T21:23:31Z</cp:lastPrinted>
  <dcterms:created xsi:type="dcterms:W3CDTF">2009-06-04T08:50:44Z</dcterms:created>
  <dcterms:modified xsi:type="dcterms:W3CDTF">2025-08-14T23:01:26Z</dcterms:modified>
</cp:coreProperties>
</file>